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olufi\Downloads\"/>
    </mc:Choice>
  </mc:AlternateContent>
  <xr:revisionPtr revIDLastSave="0" documentId="13_ncr:1_{F366DDB7-CD3D-41D1-8A6C-752562B3C100}" xr6:coauthVersionLast="47" xr6:coauthVersionMax="47" xr10:uidLastSave="{00000000-0000-0000-0000-000000000000}"/>
  <bookViews>
    <workbookView xWindow="-28920" yWindow="-120" windowWidth="29040" windowHeight="15720" firstSheet="5" activeTab="5" xr2:uid="{00000000-000D-0000-FFFF-FFFF00000000}"/>
  </bookViews>
  <sheets>
    <sheet name="Feb. Active" sheetId="15" r:id="rId1"/>
    <sheet name="Feb. Passive" sheetId="8" r:id="rId2"/>
    <sheet name="Mar. Passive" sheetId="16" r:id="rId3"/>
    <sheet name="Mar. Active" sheetId="14" r:id="rId4"/>
    <sheet name="RLC Balance" sheetId="18" r:id="rId5"/>
    <sheet name="Budget Template" sheetId="4" r:id="rId6"/>
    <sheet name="1 K" sheetId="19" r:id="rId7"/>
  </sheets>
  <definedNames>
    <definedName name="_xlnm.Print_Area" localSheetId="6">'1 K'!$B$5:$E$18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9" l="1"/>
  <c r="E8" i="19"/>
  <c r="E9" i="19"/>
  <c r="E10" i="19"/>
  <c r="E11" i="19"/>
  <c r="E12" i="19"/>
  <c r="E13" i="19"/>
  <c r="E14" i="19"/>
  <c r="E6" i="19"/>
  <c r="E18" i="19"/>
  <c r="C20" i="19"/>
  <c r="C18" i="18"/>
  <c r="E15" i="18"/>
  <c r="E14" i="18"/>
  <c r="E13" i="18"/>
  <c r="E12" i="18"/>
  <c r="E11" i="18"/>
  <c r="E10" i="18"/>
  <c r="E9" i="18"/>
  <c r="E8" i="18"/>
  <c r="E7" i="18"/>
  <c r="E6" i="18"/>
  <c r="E16" i="18"/>
  <c r="E15" i="14"/>
  <c r="E19" i="14"/>
  <c r="E16" i="14"/>
  <c r="E17" i="14"/>
  <c r="E18" i="14"/>
  <c r="E15" i="16"/>
  <c r="E14" i="16"/>
  <c r="E13" i="16"/>
  <c r="E12" i="16"/>
  <c r="E11" i="16"/>
  <c r="E10" i="16"/>
  <c r="E9" i="16"/>
  <c r="E8" i="16"/>
  <c r="E7" i="16"/>
  <c r="E6" i="16"/>
  <c r="E16" i="16"/>
  <c r="E16" i="15"/>
  <c r="E15" i="15"/>
  <c r="E14" i="15"/>
  <c r="E13" i="15"/>
  <c r="E12" i="15"/>
  <c r="E11" i="15"/>
  <c r="E10" i="15"/>
  <c r="E9" i="15"/>
  <c r="E8" i="15"/>
  <c r="E7" i="15"/>
  <c r="E6" i="15"/>
  <c r="E17" i="15"/>
  <c r="E14" i="14"/>
  <c r="E13" i="14"/>
  <c r="E12" i="14"/>
  <c r="E11" i="14"/>
  <c r="E10" i="14"/>
  <c r="E9" i="14"/>
  <c r="E8" i="14"/>
  <c r="E7" i="14"/>
  <c r="E6" i="14"/>
  <c r="C19" i="4"/>
  <c r="E15" i="8"/>
  <c r="E14" i="8"/>
  <c r="E13" i="8"/>
  <c r="E12" i="8"/>
  <c r="E11" i="8"/>
  <c r="E10" i="8"/>
  <c r="E9" i="8"/>
  <c r="E8" i="8"/>
  <c r="E7" i="8"/>
  <c r="E6" i="8"/>
  <c r="E16" i="8"/>
  <c r="C19" i="8"/>
  <c r="E15" i="4"/>
  <c r="E14" i="4"/>
  <c r="E13" i="4"/>
  <c r="E12" i="4"/>
  <c r="E11" i="4"/>
  <c r="E10" i="4"/>
  <c r="E9" i="4"/>
  <c r="E8" i="4"/>
  <c r="E7" i="4"/>
  <c r="E6" i="4"/>
  <c r="E16" i="4"/>
  <c r="C18" i="4"/>
  <c r="E20" i="14"/>
  <c r="C19" i="16"/>
  <c r="C18" i="16"/>
  <c r="C20" i="15"/>
  <c r="C19" i="15"/>
  <c r="C23" i="14"/>
  <c r="C22" i="14"/>
  <c r="C1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tc={2477C470-D8A7-4ABB-B6BC-FD8E042FC632}</author>
    <author>tc={E35CE63B-E34F-44C9-A5FD-7D87F917453D}</author>
  </authors>
  <commentList>
    <comment ref="B9" authorId="0" shapeId="0" xr:uid="{2477C470-D8A7-4ABB-B6BC-FD8E042FC632}">
      <text>
        <t>[Threaded comment]
Your version of Excel allows you to read this threaded comment; however, any edits to it will get removed if the file is opened in a newer version of Excel. Learn more: https://go.microsoft.com/fwlink/?linkid=870924
Comment:
    Item is unavailable.</t>
      </text>
    </comment>
    <comment ref="B11" authorId="1" shapeId="0" xr:uid="{E35CE63B-E34F-44C9-A5FD-7D87F917453D}">
      <text>
        <t>[Threaded comment]
Your version of Excel allows you to read this threaded comment; however, any edits to it will get removed if the file is opened in a newer version of Excel. Learn more: https://go.microsoft.com/fwlink/?linkid=870924
Comment:
    Item is unavailable</t>
      </text>
    </comment>
  </commentList>
</comments>
</file>

<file path=xl/sharedStrings.xml><?xml version="1.0" encoding="utf-8"?>
<sst xmlns="http://schemas.openxmlformats.org/spreadsheetml/2006/main" count="173" uniqueCount="67">
  <si>
    <t>BUDGET SHEET</t>
  </si>
  <si>
    <t>Budget Main Balance</t>
  </si>
  <si>
    <t>Flex</t>
  </si>
  <si>
    <t>Event</t>
  </si>
  <si>
    <t>Love at First Scoop</t>
  </si>
  <si>
    <t>Quantity</t>
  </si>
  <si>
    <t>Item/Description</t>
  </si>
  <si>
    <t>Source</t>
  </si>
  <si>
    <t>Fee</t>
  </si>
  <si>
    <t>Price</t>
  </si>
  <si>
    <t>Cake Mate Rainbow Val Sprinkles</t>
  </si>
  <si>
    <t>Amazon</t>
  </si>
  <si>
    <t>TRU BLU Assorted Home Cookies</t>
  </si>
  <si>
    <t>Fannie May Semi-Sweet Choc Chips</t>
  </si>
  <si>
    <t>Sweet Indeed Sprinkle Mix</t>
  </si>
  <si>
    <t>Fisher Mixed Nuts Ice Cream Toppings</t>
  </si>
  <si>
    <t>Cookies and Cream Ice Cream 123fl oz</t>
  </si>
  <si>
    <t>Walmart</t>
  </si>
  <si>
    <t>Chocolate Ice Cream 126 fl oz</t>
  </si>
  <si>
    <t>Neapolitan Ice Cream 128 fl oz</t>
  </si>
  <si>
    <t>Plastic Ice Cream Scoops 4pc</t>
  </si>
  <si>
    <t>Everyday Paper Plates</t>
  </si>
  <si>
    <t>4pc Acrylic Clear Sugar Bowl</t>
  </si>
  <si>
    <t>Total Price</t>
  </si>
  <si>
    <t>Budget Remaining Balance</t>
  </si>
  <si>
    <t>Flex Balance</t>
  </si>
  <si>
    <t>Candy Grams</t>
  </si>
  <si>
    <t>Assorted Candy Party Mix 2lbs</t>
  </si>
  <si>
    <t>Candy Variety Pack Wrapped 2lbs</t>
  </si>
  <si>
    <t>CIP Tabling</t>
  </si>
  <si>
    <t>Frito Classic Mix Chips 42pk</t>
  </si>
  <si>
    <t>Frito Flaming Hot Mix Chips 18pk</t>
  </si>
  <si>
    <t>March Madness Watch Party</t>
  </si>
  <si>
    <t>Fanta Orange Soda 20 pk 7.5fl oz</t>
  </si>
  <si>
    <t>Mini Soda Variety Drinks 24</t>
  </si>
  <si>
    <t>Capri Sun Fruit Punch 6 fl oz 30 ct</t>
  </si>
  <si>
    <t>Frito-Lay Flamin Hot Mix 40pk</t>
  </si>
  <si>
    <t>Frito-Lay Fun Times Mix 40pk</t>
  </si>
  <si>
    <t>Basketball &amp; Hoop Decor</t>
  </si>
  <si>
    <t>Basketball Plates 48pcs</t>
  </si>
  <si>
    <t>HEB Tostitos Dip, Salsa Medium</t>
  </si>
  <si>
    <t>H-E-B</t>
  </si>
  <si>
    <t>HEB Brownies and Cookies Tray</t>
  </si>
  <si>
    <t>HEB Fruit Tray</t>
  </si>
  <si>
    <t>HEB Deli Sub Sandwich Tray</t>
  </si>
  <si>
    <t>HEB Homestyle Potato Salad</t>
  </si>
  <si>
    <t>HEB Brisket Queso Dip</t>
  </si>
  <si>
    <t>HEB Tostitos Tortilla Chips Party Size</t>
  </si>
  <si>
    <t>RLC Refund Extra Balance</t>
  </si>
  <si>
    <t>Nakenbe RLC</t>
  </si>
  <si>
    <t>Total Addition</t>
  </si>
  <si>
    <t>Example Event</t>
  </si>
  <si>
    <t>Disco Party Ball</t>
  </si>
  <si>
    <t>Bluetooth Speaker</t>
  </si>
  <si>
    <t>Disco Party ball x30 pack</t>
  </si>
  <si>
    <t>Kroger</t>
  </si>
  <si>
    <t>Disco Party Cups</t>
  </si>
  <si>
    <t>End of Year Event</t>
  </si>
  <si>
    <t>Wislon Bag</t>
  </si>
  <si>
    <t>Kodak FZ55 Digi-Camera (Black)</t>
  </si>
  <si>
    <t>Digital to Analog Polaroid Photo Printer</t>
  </si>
  <si>
    <t>Gumdrop Squeeze Ball for Adults</t>
  </si>
  <si>
    <t xml:space="preserve">Almost Lipstick Tinted Lip Balm in black honey and 2 pink honey </t>
  </si>
  <si>
    <t>Luxilon ALU Power Tennis String</t>
  </si>
  <si>
    <t>3 pk SD Card 32GB</t>
  </si>
  <si>
    <t>Sony Headphones (Black)</t>
  </si>
  <si>
    <t>Sony Headphones (White)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</si>
</sst>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Cambria"/>
      <family val="1"/>
    </font>
    <font>
      <sz val="15"/>
      <color theme="1"/>
      <name val="Cambria"/>
      <family val="1"/>
    </font>
    <font>
      <u/>
      <sz val="11"/>
      <color theme="10"/>
      <name val="Aptos Narrow"/>
      <family val="2"/>
      <scheme val="minor"/>
    </font>
    <font>
      <u/>
      <sz val="15"/>
      <color theme="10"/>
      <name val="Cambria"/>
    </font>
    <font>
      <sz val="15"/>
      <color rgb="FF000000"/>
      <name val="Cambria"/>
    </font>
    <font>
      <u/>
      <sz val="14"/>
      <color theme="10"/>
      <name val="Aptos Narrow"/>
      <family val="2"/>
      <scheme val="minor"/>
    </font>
    <font>
      <sz val="15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/>
      <right/>
      <top style="double">
        <color theme="9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3" fillId="2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8" fontId="3" fillId="3" borderId="0" xfId="0" applyNumberFormat="1" applyFont="1" applyFill="1"/>
    <xf numFmtId="0" fontId="2" fillId="3" borderId="0" xfId="0" applyFont="1" applyFill="1"/>
    <xf numFmtId="0" fontId="3" fillId="2" borderId="2" xfId="0" applyFont="1" applyFill="1" applyBorder="1"/>
    <xf numFmtId="164" fontId="3" fillId="2" borderId="2" xfId="0" applyNumberFormat="1" applyFont="1" applyFill="1" applyBorder="1"/>
    <xf numFmtId="0" fontId="3" fillId="2" borderId="0" xfId="0" applyFont="1" applyFill="1" applyAlignment="1">
      <alignment horizontal="right"/>
    </xf>
    <xf numFmtId="164" fontId="3" fillId="2" borderId="3" xfId="0" applyNumberFormat="1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/>
    <xf numFmtId="6" fontId="3" fillId="2" borderId="0" xfId="0" applyNumberFormat="1" applyFont="1" applyFill="1"/>
    <xf numFmtId="164" fontId="3" fillId="2" borderId="0" xfId="0" applyNumberFormat="1" applyFont="1" applyFill="1"/>
    <xf numFmtId="6" fontId="3" fillId="3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/>
    </xf>
    <xf numFmtId="8" fontId="3" fillId="2" borderId="0" xfId="0" applyNumberFormat="1" applyFont="1" applyFill="1" applyAlignment="1">
      <alignment horizontal="right"/>
    </xf>
    <xf numFmtId="0" fontId="5" fillId="2" borderId="2" xfId="2" applyFont="1" applyFill="1" applyBorder="1" applyAlignment="1">
      <alignment horizontal="center"/>
    </xf>
    <xf numFmtId="8" fontId="3" fillId="2" borderId="0" xfId="0" applyNumberFormat="1" applyFont="1" applyFill="1"/>
    <xf numFmtId="0" fontId="6" fillId="2" borderId="2" xfId="2" applyFont="1" applyFill="1" applyBorder="1" applyAlignment="1">
      <alignment horizontal="center"/>
    </xf>
    <xf numFmtId="0" fontId="7" fillId="2" borderId="2" xfId="2" applyFont="1" applyFill="1" applyBorder="1" applyAlignment="1">
      <alignment horizontal="center"/>
    </xf>
    <xf numFmtId="0" fontId="4" fillId="2" borderId="2" xfId="2" applyFill="1" applyBorder="1" applyAlignment="1">
      <alignment horizontal="center"/>
    </xf>
    <xf numFmtId="0" fontId="6" fillId="2" borderId="2" xfId="0" applyFont="1" applyFill="1" applyBorder="1"/>
    <xf numFmtId="164" fontId="8" fillId="2" borderId="2" xfId="0" applyNumberFormat="1" applyFont="1" applyFill="1" applyBorder="1"/>
    <xf numFmtId="0" fontId="8" fillId="2" borderId="2" xfId="0" applyFont="1" applyFill="1" applyBorder="1"/>
    <xf numFmtId="0" fontId="2" fillId="2" borderId="0" xfId="0" applyFont="1" applyFill="1" applyAlignment="1">
      <alignment horizontal="center"/>
    </xf>
    <xf numFmtId="0" fontId="3" fillId="2" borderId="2" xfId="0" applyFont="1" applyFill="1" applyBorder="1"/>
    <xf numFmtId="164" fontId="3" fillId="2" borderId="1" xfId="1" applyNumberFormat="1" applyFont="1" applyFill="1" applyBorder="1" applyAlignment="1"/>
    <xf numFmtId="8" fontId="3" fillId="2" borderId="4" xfId="0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mith, Quana" id="{9BCDE6F5-394D-4927-B184-C7320AB6BC8D}" userId="S::ttsmith@cougarnet.uh.edu::ea288d3c-5d4c-4fa8-ac72-db3cdb9a382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6-05-06T19:13:56.64" personId="{9BCDE6F5-394D-4927-B184-C7320AB6BC8D}" id="{2477C470-D8A7-4ABB-B6BC-FD8E042FC632}">
    <text>Item is unavailable.</text>
  </threadedComment>
  <threadedComment ref="B11" dT="2026-05-06T19:16:12.66" personId="{9BCDE6F5-394D-4927-B184-C7320AB6BC8D}" id="{E35CE63B-E34F-44C9-A5FD-7D87F917453D}">
    <text>Item is unavailable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lmart.com/ip/Great-Value-Neapolitan-Ice-Cream-128-fl-oz/674152740?classType=REGULAR&amp;from=%2Fsearch&amp;adid=22222222220451163945&amp;wmlspartner=wmtlabs&amp;veh=sem&amp;vtcWeb=acE2CYG7yX9Rs0F1A4iV0k&amp;expiryTime=1770654558363&amp;c=mWebSmartBanner&amp;sid=71a126c4-35b0-4d39-b382-b24f2a55f0e6" TargetMode="External"/><Relationship Id="rId3" Type="http://schemas.openxmlformats.org/officeDocument/2006/relationships/hyperlink" Target="https://a.co/d/0bXvk3uI" TargetMode="External"/><Relationship Id="rId7" Type="http://schemas.openxmlformats.org/officeDocument/2006/relationships/hyperlink" Target="https://www.walmart.com/ip/Great-Value-Chocolate-Ice-Cream-128-fl-oz/256249194?classType=REGULAR&amp;from=%2Fsearch&amp;adid=22222222220451163945&amp;wmlspartner=wmtlabs&amp;veh=sem&amp;expiryTime=1770654558363&amp;c=mWebSmartBanner&amp;vtcWeb=acE2CYG7yX9Rs0F1A4iV0k&amp;sid=00c09d2d-e457-4435-a978-0b7f038d84d9" TargetMode="External"/><Relationship Id="rId2" Type="http://schemas.openxmlformats.org/officeDocument/2006/relationships/hyperlink" Target="https://www.amazon.com/dp/B08HDLRHR7?_encoding=UTF8&amp;ref=cm_sw_r_cp_ud_dp_90D2YPPSP9MDRGTSS300&amp;ref_=cm_sw_r_cp_ud_dp_90D2YPPSP9MDRGTSS300&amp;social_share=cm_sw_r_cp_ud_dp_90D2YPPSP9MDRGTSS300&amp;th=1" TargetMode="External"/><Relationship Id="rId1" Type="http://schemas.openxmlformats.org/officeDocument/2006/relationships/hyperlink" Target="https://www.amazon.com/Cake-Mate-Christmas-Sprinkles-resealable/dp/B00KOAL7XU/ref=sr_1_7?crid=29YV9AZSJLXXQ&amp;dib=eyJ2IjoiMSJ9.dZ0uNfioR5tfyE1tgLX6YbUlN3q7exNXdjH86qlYfjD-WSP49-5Hhv9uFtUVaISVsbmiP67Ib_o-GCUDaF0WNqSX625Ja8mHF2IQtfHvKi-X6ilJ_GVswWKAXxiNwASEcPc0SUZ8k8Am-bx3hmYeSEnFxixIo6Fcr-4CfQRxY2Mw1YUQSN52TH9G5Zgf4yOJLJjSUlY-DZHGo7F6QxlVB71_kXFA9t-DnDcQStmwKpZhVFmjSaYZMQTHTJTJsGyMMR0MTg_wL9Gsy8QIqnQmWIRm21qUVx6TfatWqGehlZk.EQv9b4zXo751tc9lDzMSq5xcUnAgwbVv7qoT3j0DQyM&amp;dib_tag=se&amp;keywords=sprinkles%2Bfor%2Bice%2Bcream&amp;qid=1770652226&amp;sprefix=sprinkle%2Caps%2C268&amp;sr=8-7&amp;th=1" TargetMode="External"/><Relationship Id="rId6" Type="http://schemas.openxmlformats.org/officeDocument/2006/relationships/hyperlink" Target="https://www.walmart.com/ip/Great-Value-Cookies-Cream-Ice-Cream-128-fl-oz/127485806?classType=REGULAR&amp;from=%2Fsearch&amp;adid=22222222220451163945&amp;wmlspartner=wmtlabs&amp;veh=sem&amp;vtcWeb=acE2CYG7yX9Rs0F1A4iV0k&amp;expiryTime=1770654558363&amp;c=mWebSmartBanner&amp;sid=f408fff6-f603-4ffd-b5b3-6883d9e20e1b" TargetMode="External"/><Relationship Id="rId11" Type="http://schemas.openxmlformats.org/officeDocument/2006/relationships/hyperlink" Target="https://www.amazon.com/dp/B094J1T3QZ?_encoding=UTF8&amp;ref=cm_sw_r_cp_ud_dp_748CZ689FZ8TZWFHKMJE&amp;ref_=cm_sw_r_cp_ud_dp_748CZ689FZ8TZWFHKMJE&amp;social_share=cm_sw_r_cp_ud_dp_748CZ689FZ8TZWFHKMJE&amp;th=1" TargetMode="External"/><Relationship Id="rId5" Type="http://schemas.openxmlformats.org/officeDocument/2006/relationships/hyperlink" Target="https://www.amazon.com/dp/B08YFHGMLH?ref=cm_sw_r_cp_ud_dp_QGKKGCGX95T5D32F44GJ&amp;ref_=cm_sw_r_cp_ud_dp_QGKKGCGX95T5D32F44GJ&amp;social_share=cm_sw_r_cp_ud_dp_QGKKGCGX95T5D32F44GJ&amp;th=1" TargetMode="External"/><Relationship Id="rId10" Type="http://schemas.openxmlformats.org/officeDocument/2006/relationships/hyperlink" Target="https://www.amazon.com/dp/B0C2CY22B8?_encoding=UTF8&amp;ref=cm_sw_r_cp_ud_dp_J9QMKY7YKP6MVCE76NB1&amp;ref_=cm_sw_r_cp_ud_dp_J9QMKY7YKP6MVCE76NB1&amp;social_share=cm_sw_r_cp_ud_dp_J9QMKY7YKP6MVCE76NB1&amp;th=1" TargetMode="External"/><Relationship Id="rId4" Type="http://schemas.openxmlformats.org/officeDocument/2006/relationships/hyperlink" Target="https://www.amazon.com/dp/B0FPBX3G24?_encoding=UTF8&amp;ref=cm_sw_r_cp_ud_dp_JVR89BXEPWFNRM4BTQJ2&amp;ref_=cm_sw_r_cp_ud_dp_JVR89BXEPWFNRM4BTQJ2&amp;social_share=cm_sw_r_cp_ud_dp_JVR89BXEPWFNRM4BTQJ2&amp;th=1" TargetMode="External"/><Relationship Id="rId9" Type="http://schemas.openxmlformats.org/officeDocument/2006/relationships/hyperlink" Target="https://www.amazon.com/dp/B0C7WNNQT9?_encoding=UTF8&amp;psc=1&amp;ref=cm_sw_r_cp_ud_dp_200S0641N73XJFJMDNCT&amp;ref_=cm_sw_r_cp_ud_dp_200S0641N73XJFJMDNCT&amp;social_share=cm_sw_r_cp_ud_dp_200S0641N73XJFJMDNC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Ultimate-Name-Brand-Candy-Variety/dp/B0F3BB1FPZ/ref=sims_dp_d_dex_ai_rank_model_1_d_v1_d_sccl_1_1/133-2882073-3675867?pd_rd_w=tS46u&amp;content-id=amzn1.sym.bb4a0aac-c2b4-4b4b-a0c8-9aa89b28dce3&amp;pf_rd_p=bb4a0aac-c2b4-4b4b-a0c8-9aa89b28dce3&amp;pf_rd_r=15DPRN4RRT6B49G34CQV&amp;pd_rd_wg=fD3FU&amp;pd_rd_r=9fb5ab87-2f1d-425c-b831-81ab863d6c93&amp;pd_rd_i=B0F3BB1FPZ&amp;th=1" TargetMode="External"/><Relationship Id="rId1" Type="http://schemas.openxmlformats.org/officeDocument/2006/relationships/hyperlink" Target="https://www.amazon.com/Ultimate-Assorted-Candy-Party-Mix/dp/B0BC2C83KM/ref=sr_1_1_sspa?crid=3AJC3Y82CT7J1&amp;dib=eyJ2IjoiMSJ9.X5CSCJbUHFiipXY3SeQp3nSnOzZJonwm483H3DvdGMbMziQCrArJFHiCsjyVBbuKS5bCuV4qWqqMYZbfDpJsYpfXu7737maFvv8VnXsjoDPQKRoQspa6lbW_UFfishM4xHkXpZBo7k0fHq_HDhvde8em9DaiphQRHRvOfvzLM4bTXadLr_20OCP6_VwqT_qxSfzOCbpG_s7jL_Y-WkywcAeLlpWCiiFXuUumBvnQoyF0bYUBYX-Hab5-ixOxaUyc-qO4gpybVLOw_SxKDmvkoYXxBy3iEDPX3HD129IBGjw.XHdcx4BU8tkG4XPrOOXeQ3dGIg5ApjwC3kQMfUaj4lw&amp;dib_tag=se&amp;keywords=candy%2Bbags&amp;qid=1771380672&amp;sprefix=%2Caps%2C196&amp;sr=8-1-spons&amp;sp_csd=d2lkZ2V0TmFtZT1zcF9hdGY&amp;th=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almart.com/ip/Frito-Lay-Flamin-Hot-Mix-Variety-Pack-Snack-Chips-18-Count-Multipack/193141448?classType=REGULAR&amp;athbdg=L1600&amp;from=/search" TargetMode="External"/><Relationship Id="rId1" Type="http://schemas.openxmlformats.org/officeDocument/2006/relationships/hyperlink" Target="https://www.walmart.com/ip/Frito-Lay-Classic-Mix-Chips-Variety-Pack-Mega-Size-1-oz-42-Count/794845701?classType=REGULAR&amp;athbdg=L1600&amp;from=/search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b.com/product-detail/tostitos-salsa-con-queso-dip-medium-15-oz/2012107" TargetMode="External"/><Relationship Id="rId13" Type="http://schemas.openxmlformats.org/officeDocument/2006/relationships/hyperlink" Target="https://www.heb.com/product-detail/tostitos-original-restaurant-style-tortilla-chips-party-size-17-oz/2007491" TargetMode="External"/><Relationship Id="rId3" Type="http://schemas.openxmlformats.org/officeDocument/2006/relationships/hyperlink" Target="https://www.amazon.com/dp/B0812HZGGZ?ref=cm_sw_r_cp_ud_dp_VDVC4AHYFEVC2QD0MXWG&amp;ref_=cm_sw_r_cp_ud_dp_VDVC4AHYFEVC2QD0MXWG&amp;social_share=cm_sw_r_cp_ud_dp_VDVC4AHYFEVC2QD0MXWG" TargetMode="External"/><Relationship Id="rId7" Type="http://schemas.openxmlformats.org/officeDocument/2006/relationships/hyperlink" Target="https://www.amazon.com/dp/B0F38NBV7V?_encoding=UTF8&amp;psc=1&amp;ref=cm_sw_r_cp_ud_dp_6SBG9QZNYWD7BX1TBHJS&amp;ref_=cm_sw_r_cp_ud_dp_6SBG9QZNYWD7BX1TBHJS&amp;social_share=cm_sw_r_cp_ud_dp_6SBG9QZNYWD7BX1TBHJS" TargetMode="External"/><Relationship Id="rId12" Type="http://schemas.openxmlformats.org/officeDocument/2006/relationships/hyperlink" Target="https://www.heb.com/product-detail/meal-simple-by-h-e-b-tex-mex-brisket-queso-dip-avg-1-45-lbs/4524083" TargetMode="External"/><Relationship Id="rId2" Type="http://schemas.openxmlformats.org/officeDocument/2006/relationships/hyperlink" Target="https://www.amazon.com/dp/B0FMDW7YBH?_encoding=UTF8&amp;psc=1&amp;ref=cm_sw_r_cp_ud_dp_YESG00CH3QJ29D4KGS17&amp;ref_=cm_sw_r_cp_ud_dp_YESG00CH3QJ29D4KGS17&amp;social_share=cm_sw_r_cp_ud_dp_YESG00CH3QJ29D4KGS17" TargetMode="External"/><Relationship Id="rId1" Type="http://schemas.openxmlformats.org/officeDocument/2006/relationships/hyperlink" Target="https://www.amazon.com/dp/B0D2FNSP7G?ref=cm_sw_r_cp_ud_dp_BBN28D89WCVJVF1T476A&amp;ref_=cm_sw_r_cp_ud_dp_BBN28D89WCVJVF1T476A&amp;social_share=cm_sw_r_cp_ud_dp_BBN28D89WCVJVF1T476A&amp;th=1" TargetMode="External"/><Relationship Id="rId6" Type="http://schemas.openxmlformats.org/officeDocument/2006/relationships/hyperlink" Target="https://www.amazon.com/dp/B07TKBCCKP?ref=cm_sw_r_cp_ud_dp_1HE4NPH95YE1Q4TG889H&amp;ref_=cm_sw_r_cp_ud_dp_1HE4NPH95YE1Q4TG889H&amp;social_share=cm_sw_r_cp_ud_dp_1HE4NPH95YE1Q4TG889H" TargetMode="External"/><Relationship Id="rId11" Type="http://schemas.openxmlformats.org/officeDocument/2006/relationships/hyperlink" Target="https://www.heb.com/product-detail/hill-country-fare-homestyle-potato-salad-1-lb/671322" TargetMode="External"/><Relationship Id="rId5" Type="http://schemas.openxmlformats.org/officeDocument/2006/relationships/hyperlink" Target="https://www.amazon.com/dp/B076H6F974?ref=cm_sw_r_cp_ud_dp_JFW6WAYDHP4E6MCF2CZC&amp;ref_=cm_sw_r_cp_ud_dp_JFW6WAYDHP4E6MCF2CZC&amp;social_share=cm_sw_r_cp_ud_dp_JFW6WAYDHP4E6MCF2CZC&amp;th=1" TargetMode="External"/><Relationship Id="rId10" Type="http://schemas.openxmlformats.org/officeDocument/2006/relationships/hyperlink" Target="https://www.heb.com/product-detail/h-e-b-deli-party-tray-assorted-sub-sandwiches-24-ct/4462055" TargetMode="External"/><Relationship Id="rId4" Type="http://schemas.openxmlformats.org/officeDocument/2006/relationships/hyperlink" Target="https://www.amazon.com/dp/B08826L3FK?_encoding=UTF8&amp;ref=cm_sw_r_cp_ud_dp_E4E31VFBK68794AHGRTY&amp;ref_=cm_sw_r_cp_ud_dp_E4E31VFBK68794AHGRTY&amp;social_share=cm_sw_r_cp_ud_dp_E4E31VFBK68794AHGRTY&amp;th=1" TargetMode="External"/><Relationship Id="rId9" Type="http://schemas.openxmlformats.org/officeDocument/2006/relationships/hyperlink" Target="https://www.heb.com/product-detail/h-e-b-bakery-party-tray-cookies-brownie-bites/4423596" TargetMode="External"/><Relationship Id="rId14" Type="http://schemas.openxmlformats.org/officeDocument/2006/relationships/hyperlink" Target="https://www.heb.com/product-detail/h-e-b-deli-large-fresh-fruit-party-tray-strawberry-cheesecake-dip/4556004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Sony-WH-CH720NL-Canceling-Bluetooth-Headphones/dp/B0BTDX26B2/ref=sr_1_1?crid=3EMPDN5XLQP52&amp;dib=eyJ2IjoiMSJ9.4GB1QHkt7yOahSh0dzWJwErO_4QRaFjib2zbc5fL_FZcAttb9E7j6TKF4v-CpbwgmS2u97Lw5e1ujBsNjIx-tDx-6p9or2XEQA0mX0wocnW53E9oe0Ve6J6p-EVPwmJgP4f4SLOihHt1XRPFPNooMfUyq7mUdajpYOxmMm4KIu79dCqQp1NhStutTJJt6SMY-G8LK52UnGSzuVB8wiqlsr4M0o9UIJeWlg8QPxyyRy4.SrHnO4u1V9cqkOIf-BZob0cR4lQ7wYxQMlHZufd266s&amp;dib_tag=se&amp;keywords=sony%2Bheadphones%2Bnoise%2Bcancelling&amp;qid=1777743233&amp;sprefix=sony%2Bheadphonesnoi%2Caps%2C182&amp;sr=8-1&amp;th=1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www.amazon.com/Polaroid-Originals-Lab-Digital-Printer/dp/B07WHMKXQB?crid=BCB6GSHYUAE0&amp;dib=eyJ2IjoiMSJ9.Alc_AKDESGR7IrM4ncgqgd9j8BjcvXo8jQc1zlfhFsYYUOYBalZIP4x9OW0Avl-Or3tUJMu0rtR7hCdHZy7vRXzQueAHL8VZ7uIOjJy72rid6fTx1GS6fD5RxXhn-ucVKiXmw35ERYXgi8L2o7-rfNSqezO27NhKo2uefMz8CCCDgTQPMFs6TZ_FldK98Y5yZOXofaYjBOWNBeViYaOd2w.ArMkaiUfwc40oTNcf1Ewadq5jtRYwtKdB_fvUSHfyRs&amp;dib_tag=se&amp;keywords=polaroid&amp;qid=1777513278&amp;sbo=RZvfv%2F%2FHxDF%2BO5021pAnSA%3D%3D&amp;sprefix=polarioid%2Caps%2C210&amp;sr=8-32&amp;xpid=tknV6-eO3JBXM&amp;th=1" TargetMode="External"/><Relationship Id="rId7" Type="http://schemas.openxmlformats.org/officeDocument/2006/relationships/hyperlink" Target="https://www.amazon.com/KEXIN-Micro-Memory-MicroSDHC-UHS-I/dp/B07WZS298H/ref=sr_1_2?crid=3QRLLEDDWP4SJ&amp;dib=eyJ2IjoiMSJ9.AW5KoSM-EZRpsCY9TLO8PYMkodMbOZog_3lXhtuJg8dOWR2Gtt7l-vCJxD1EAUBkaMkfm8uPa6Jp7TollqKdB7vsEh0ng0zU0QwJbZSXgfGQhMoTif9BaVrvhq4VDmvpyShPg8VPMo29b6jy7NKB6Gzdabwgwrm5MF-0N6ls_cLeRcV_4VudNLXMWu5ZE38VPPDlLynU-8PaZUyrRuWBK71y3VQpSvRO98kl0zvijaY.28fcXcNnuj80GMg-NHlbF-mp22JkeGoigVlrNCdCrNc&amp;dib_tag=se&amp;keywords=sd%2Bcard%2Bbundle%2B3%2Bpack&amp;qid=1777622691&amp;sprefix=sd%2Bcard%2Bbundle%2B3%2Bpack%2Caps%2C246&amp;sr=8-2&amp;th=1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amazon.com/PIXPRO-Friendly-FZ55-BK-Digital-Optical/dp/B09ZRN1N3Z/ref=sr_1_1?crid=1YCN5F5WV0DLF&amp;dib=eyJ2IjoiMSJ9.yGKqUpr-VYdTsSzcucB4jb-T7-fyh10B4urXzaha4tkxARK22XxOZMJ6fuFf3vYmU8jk8iT4LIXXPOnuyyo-aFJLsoyFyeIFmlyv9zabeJ2tCzxZGzNBCgsnca95mkD1dvv9ym_PpxoXPfIuFotmxiwUnQwfszte2QQ1hsWHo4TQ7g_P33bhzQ4w4RKzB1h8JmIMGlDS94QnsPs_0OnRwWc7O6mvD0XTljZhxLtbc6Q.YxlctCj2e5jElYr7rjvaEdSAnM8Goo9TwwtpVLCMCYA&amp;dib_tag=se&amp;keywords=kodak%2Bpixpro%2Bfz55&amp;qid=1777510212&amp;sbo=RZvfv%2F%2FHxDF%2BO5021pAnSA%3D%3D&amp;sprefix=kodak%2Bpixpro%2Bfz55%2Caps%2C206&amp;sr=8-1&amp;ufe=app_do%3Aamzn1.fos.9fe8cbfa-bf43-43d1-a707-3f4e65a4b666&amp;th=1" TargetMode="External"/><Relationship Id="rId1" Type="http://schemas.openxmlformats.org/officeDocument/2006/relationships/hyperlink" Target="https://a.co/d/0dVUmRdh" TargetMode="External"/><Relationship Id="rId6" Type="http://schemas.openxmlformats.org/officeDocument/2006/relationships/hyperlink" Target="https://a.co/d/0f5REkwP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.co/d/0hNtZXNA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a.co/d/0hQ0zHUz" TargetMode="External"/><Relationship Id="rId9" Type="http://schemas.openxmlformats.org/officeDocument/2006/relationships/hyperlink" Target="https://www.amazon.com/Sony-WH-CH720NL-Canceling-Bluetooth-Headphones/dp/B0BTDX26B2/ref=sr_1_1?crid=3EMPDN5XLQP52&amp;dib=eyJ2IjoiMSJ9.4GB1QHkt7yOahSh0dzWJwErO_4QRaFjib2zbc5fL_FZcAttb9E7j6TKF4v-CpbwgmS2u97Lw5e1ujBsNjIx-tDx-6p9or2XEQA0mX0wocnW53E9oe0Ve6J6p-EVPwmJgP4f4SLOihHt1XRPFPNooMfUyq7mUdajpYOxmMm4KIu79dCqQp1NhStutTJJt6SMY-G8LK52UnGSzuVB8wiqlsr4M0o9UIJeWlg8QPxyyRy4.SrHnO4u1V9cqkOIf-BZob0cR4lQ7wYxQMlHZufd266s&amp;dib_tag=se&amp;keywords=sony%2Bheadphones%2Bnoise%2Bcancelling&amp;qid=1777743233&amp;sprefix=sony%2Bheadphonesnoi%2Caps%2C182&amp;sr=8-1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B7D1-CB89-4324-8A40-D00AC6458EA2}">
  <dimension ref="A1:E21"/>
  <sheetViews>
    <sheetView zoomScale="105" workbookViewId="0">
      <selection activeCell="C12" sqref="C12"/>
    </sheetView>
  </sheetViews>
  <sheetFormatPr defaultColWidth="0" defaultRowHeight="24.6" customHeight="1" zeroHeight="1" x14ac:dyDescent="0.4"/>
  <cols>
    <col min="1" max="1" width="11.109375" style="2" customWidth="1"/>
    <col min="2" max="2" width="49.6640625" style="2" customWidth="1"/>
    <col min="3" max="3" width="17.33203125" style="2" customWidth="1"/>
    <col min="4" max="4" width="11.33203125" style="2" customWidth="1"/>
    <col min="5" max="5" width="14.109375" style="2" customWidth="1"/>
    <col min="6" max="16384" width="8.88671875" style="2" hidden="1"/>
  </cols>
  <sheetData>
    <row r="1" spans="1:5" ht="43.2" customHeight="1" x14ac:dyDescent="0.4">
      <c r="A1" s="28" t="s">
        <v>0</v>
      </c>
      <c r="B1" s="28"/>
      <c r="C1" s="28"/>
      <c r="D1" s="28"/>
      <c r="E1" s="28"/>
    </row>
    <row r="2" spans="1:5" s="3" customFormat="1" ht="26.4" customHeight="1" x14ac:dyDescent="0.35">
      <c r="A2" s="4" t="s">
        <v>1</v>
      </c>
      <c r="B2" s="4"/>
      <c r="C2" s="5">
        <v>1000</v>
      </c>
      <c r="D2" s="4"/>
      <c r="E2" s="18" t="s">
        <v>2</v>
      </c>
    </row>
    <row r="3" spans="1:5" x14ac:dyDescent="0.4">
      <c r="A3" s="1" t="s">
        <v>3</v>
      </c>
      <c r="B3" s="13" t="s">
        <v>4</v>
      </c>
      <c r="C3" s="14">
        <v>175</v>
      </c>
      <c r="D3" s="13"/>
      <c r="E3" s="17">
        <v>50</v>
      </c>
    </row>
    <row r="4" spans="1:5" ht="15.6" customHeight="1" x14ac:dyDescent="0.4">
      <c r="A4" s="6"/>
      <c r="B4" s="6"/>
      <c r="C4" s="6"/>
      <c r="D4" s="6"/>
      <c r="E4" s="6"/>
    </row>
    <row r="5" spans="1:5" s="12" customFormat="1" ht="27" customHeight="1" x14ac:dyDescent="0.3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</row>
    <row r="6" spans="1:5" x14ac:dyDescent="0.4">
      <c r="A6" s="7">
        <v>1</v>
      </c>
      <c r="B6" s="7" t="s">
        <v>10</v>
      </c>
      <c r="C6" s="20" t="s">
        <v>11</v>
      </c>
      <c r="D6" s="8">
        <v>8.2899999999999991</v>
      </c>
      <c r="E6" s="8">
        <f>(D6*A6)</f>
        <v>8.2899999999999991</v>
      </c>
    </row>
    <row r="7" spans="1:5" x14ac:dyDescent="0.4">
      <c r="A7" s="7">
        <v>2</v>
      </c>
      <c r="B7" s="7" t="s">
        <v>12</v>
      </c>
      <c r="C7" s="20" t="s">
        <v>11</v>
      </c>
      <c r="D7" s="8">
        <v>21.99</v>
      </c>
      <c r="E7" s="8">
        <f t="shared" ref="E7:E15" si="0">(D7*A7)</f>
        <v>43.98</v>
      </c>
    </row>
    <row r="8" spans="1:5" x14ac:dyDescent="0.4">
      <c r="A8" s="7">
        <v>1</v>
      </c>
      <c r="B8" s="7" t="s">
        <v>13</v>
      </c>
      <c r="C8" s="20" t="s">
        <v>11</v>
      </c>
      <c r="D8" s="8">
        <v>5.49</v>
      </c>
      <c r="E8" s="8">
        <f t="shared" si="0"/>
        <v>5.49</v>
      </c>
    </row>
    <row r="9" spans="1:5" x14ac:dyDescent="0.4">
      <c r="A9" s="7">
        <v>2</v>
      </c>
      <c r="B9" s="7" t="s">
        <v>14</v>
      </c>
      <c r="C9" s="20" t="s">
        <v>11</v>
      </c>
      <c r="D9" s="8">
        <v>9.99</v>
      </c>
      <c r="E9" s="8">
        <f t="shared" si="0"/>
        <v>19.98</v>
      </c>
    </row>
    <row r="10" spans="1:5" x14ac:dyDescent="0.4">
      <c r="A10" s="7">
        <v>1</v>
      </c>
      <c r="B10" s="7" t="s">
        <v>15</v>
      </c>
      <c r="C10" s="20" t="s">
        <v>11</v>
      </c>
      <c r="D10" s="8">
        <v>3.71</v>
      </c>
      <c r="E10" s="8">
        <f t="shared" si="0"/>
        <v>3.71</v>
      </c>
    </row>
    <row r="11" spans="1:5" x14ac:dyDescent="0.4">
      <c r="A11" s="7">
        <v>1</v>
      </c>
      <c r="B11" s="7" t="s">
        <v>16</v>
      </c>
      <c r="C11" s="20" t="s">
        <v>17</v>
      </c>
      <c r="D11" s="8">
        <v>7.21</v>
      </c>
      <c r="E11" s="8">
        <f t="shared" si="0"/>
        <v>7.21</v>
      </c>
    </row>
    <row r="12" spans="1:5" x14ac:dyDescent="0.4">
      <c r="A12" s="7">
        <v>1</v>
      </c>
      <c r="B12" s="7" t="s">
        <v>18</v>
      </c>
      <c r="C12" s="20" t="s">
        <v>17</v>
      </c>
      <c r="D12" s="8">
        <v>7.27</v>
      </c>
      <c r="E12" s="8">
        <f t="shared" si="0"/>
        <v>7.27</v>
      </c>
    </row>
    <row r="13" spans="1:5" x14ac:dyDescent="0.4">
      <c r="A13" s="7">
        <v>1</v>
      </c>
      <c r="B13" s="7" t="s">
        <v>19</v>
      </c>
      <c r="C13" s="20" t="s">
        <v>17</v>
      </c>
      <c r="D13" s="8">
        <v>7.27</v>
      </c>
      <c r="E13" s="8">
        <f t="shared" si="0"/>
        <v>7.27</v>
      </c>
    </row>
    <row r="14" spans="1:5" x14ac:dyDescent="0.4">
      <c r="A14" s="7">
        <v>1</v>
      </c>
      <c r="B14" s="7" t="s">
        <v>20</v>
      </c>
      <c r="C14" s="20" t="s">
        <v>11</v>
      </c>
      <c r="D14" s="8">
        <v>7.05</v>
      </c>
      <c r="E14" s="8">
        <f t="shared" si="0"/>
        <v>7.05</v>
      </c>
    </row>
    <row r="15" spans="1:5" x14ac:dyDescent="0.4">
      <c r="A15" s="7">
        <v>1</v>
      </c>
      <c r="B15" s="7" t="s">
        <v>21</v>
      </c>
      <c r="C15" s="20" t="s">
        <v>11</v>
      </c>
      <c r="D15" s="8">
        <v>5.9</v>
      </c>
      <c r="E15" s="8">
        <f t="shared" si="0"/>
        <v>5.9</v>
      </c>
    </row>
    <row r="16" spans="1:5" x14ac:dyDescent="0.4">
      <c r="A16" s="7">
        <v>1</v>
      </c>
      <c r="B16" s="7" t="s">
        <v>22</v>
      </c>
      <c r="C16" s="20" t="s">
        <v>11</v>
      </c>
      <c r="D16" s="8">
        <v>9.99</v>
      </c>
      <c r="E16" s="8">
        <f t="shared" ref="E16" si="1">(D16*A16)</f>
        <v>9.99</v>
      </c>
    </row>
    <row r="17" spans="1:5" x14ac:dyDescent="0.4">
      <c r="A17" s="7"/>
      <c r="B17" s="7"/>
      <c r="C17" s="29" t="s">
        <v>23</v>
      </c>
      <c r="D17" s="29"/>
      <c r="E17" s="10">
        <f>SUM(E6:E15)</f>
        <v>116.14999999999998</v>
      </c>
    </row>
    <row r="18" spans="1:5" x14ac:dyDescent="0.4">
      <c r="A18" s="1"/>
      <c r="B18" s="1"/>
      <c r="C18" s="1"/>
      <c r="D18" s="1"/>
      <c r="E18" s="1"/>
    </row>
    <row r="19" spans="1:5" x14ac:dyDescent="0.4">
      <c r="A19" s="1"/>
      <c r="B19" s="9" t="s">
        <v>24</v>
      </c>
      <c r="C19" s="30">
        <f>(C2-E17)</f>
        <v>883.85</v>
      </c>
      <c r="D19" s="30"/>
      <c r="E19" s="1"/>
    </row>
    <row r="20" spans="1:5" x14ac:dyDescent="0.4">
      <c r="A20" s="1"/>
      <c r="B20" s="9" t="s">
        <v>25</v>
      </c>
      <c r="C20" s="31">
        <f>C3+E3-E17</f>
        <v>108.85000000000002</v>
      </c>
      <c r="D20" s="31"/>
      <c r="E20" s="1"/>
    </row>
    <row r="21" spans="1:5" x14ac:dyDescent="0.4">
      <c r="A21" s="1"/>
      <c r="B21" s="1"/>
      <c r="C21" s="1"/>
      <c r="D21" s="1"/>
      <c r="E21" s="1"/>
    </row>
  </sheetData>
  <mergeCells count="4">
    <mergeCell ref="A1:E1"/>
    <mergeCell ref="C17:D17"/>
    <mergeCell ref="C19:D19"/>
    <mergeCell ref="C20:D20"/>
  </mergeCells>
  <hyperlinks>
    <hyperlink ref="C6" r:id="rId1" xr:uid="{B6005719-4961-436C-BAB2-C3791492B344}"/>
    <hyperlink ref="C7" r:id="rId2" xr:uid="{9F49C2DD-516D-4AA3-B960-BF3F0AEE173E}"/>
    <hyperlink ref="C8" r:id="rId3" xr:uid="{6CE75CFB-95C4-44FE-B8F9-DAA0EC77757B}"/>
    <hyperlink ref="C9" r:id="rId4" xr:uid="{923B7AFC-91E9-4F51-ACF3-B4FEF1F45BA1}"/>
    <hyperlink ref="C10" r:id="rId5" xr:uid="{D3951ACF-3A73-4625-A788-B69D92518356}"/>
    <hyperlink ref="C11" r:id="rId6" xr:uid="{566A3F77-3B4A-407A-AAB0-275AEE2839CA}"/>
    <hyperlink ref="C12" r:id="rId7" xr:uid="{E3A11148-0A2F-4962-BC0F-4869C66244C2}"/>
    <hyperlink ref="C13" r:id="rId8" xr:uid="{7007A437-6468-4621-896A-09229E3B7A52}"/>
    <hyperlink ref="C14" r:id="rId9" xr:uid="{BF5E86D5-E0B8-4B1E-8F84-1229CA005249}"/>
    <hyperlink ref="C15" r:id="rId10" xr:uid="{70B8F572-3BA9-4C5A-996C-1EDA2E59880A}"/>
    <hyperlink ref="C16" r:id="rId11" xr:uid="{241EA2DA-09F9-4F12-BD49-28B4DDFB0B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12F6-BA74-46A9-ACC8-608637E912EB}">
  <sheetPr>
    <pageSetUpPr fitToPage="1"/>
  </sheetPr>
  <dimension ref="A1:E20"/>
  <sheetViews>
    <sheetView zoomScale="105" workbookViewId="0">
      <selection activeCell="A8" sqref="A8"/>
    </sheetView>
  </sheetViews>
  <sheetFormatPr defaultColWidth="0" defaultRowHeight="24.6" customHeight="1" zeroHeight="1" x14ac:dyDescent="0.4"/>
  <cols>
    <col min="1" max="1" width="11.109375" style="2" customWidth="1"/>
    <col min="2" max="2" width="49.6640625" style="2" customWidth="1"/>
    <col min="3" max="3" width="17.33203125" style="2" customWidth="1"/>
    <col min="4" max="4" width="11.33203125" style="2" customWidth="1"/>
    <col min="5" max="5" width="14.109375" style="2" customWidth="1"/>
    <col min="6" max="16384" width="8.88671875" style="2" hidden="1"/>
  </cols>
  <sheetData>
    <row r="1" spans="1:5" ht="43.2" customHeight="1" x14ac:dyDescent="0.4">
      <c r="A1" s="28" t="s">
        <v>0</v>
      </c>
      <c r="B1" s="28"/>
      <c r="C1" s="28"/>
      <c r="D1" s="28"/>
      <c r="E1" s="28"/>
    </row>
    <row r="2" spans="1:5" s="3" customFormat="1" ht="26.4" customHeight="1" x14ac:dyDescent="0.35">
      <c r="A2" s="4" t="s">
        <v>1</v>
      </c>
      <c r="B2" s="4"/>
      <c r="C2" s="5">
        <v>883.85</v>
      </c>
      <c r="D2" s="4"/>
      <c r="E2" s="16" t="s">
        <v>2</v>
      </c>
    </row>
    <row r="3" spans="1:5" x14ac:dyDescent="0.4">
      <c r="A3" s="1" t="s">
        <v>3</v>
      </c>
      <c r="B3" s="13" t="s">
        <v>26</v>
      </c>
      <c r="C3" s="14">
        <v>50</v>
      </c>
      <c r="D3" s="13"/>
      <c r="E3" s="15">
        <v>108.85</v>
      </c>
    </row>
    <row r="4" spans="1:5" ht="15.6" customHeight="1" x14ac:dyDescent="0.4">
      <c r="A4" s="6"/>
      <c r="B4" s="6"/>
      <c r="C4" s="6"/>
      <c r="D4" s="6"/>
      <c r="E4" s="6"/>
    </row>
    <row r="5" spans="1:5" s="12" customFormat="1" ht="27" customHeight="1" x14ac:dyDescent="0.3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</row>
    <row r="6" spans="1:5" x14ac:dyDescent="0.4">
      <c r="A6" s="7">
        <v>1</v>
      </c>
      <c r="B6" s="7" t="s">
        <v>27</v>
      </c>
      <c r="C6" s="20" t="s">
        <v>11</v>
      </c>
      <c r="D6" s="8">
        <v>18.989999999999998</v>
      </c>
      <c r="E6" s="8">
        <f>(D6*A6)</f>
        <v>18.989999999999998</v>
      </c>
    </row>
    <row r="7" spans="1:5" x14ac:dyDescent="0.4">
      <c r="A7" s="7">
        <v>1</v>
      </c>
      <c r="B7" s="7" t="s">
        <v>28</v>
      </c>
      <c r="C7" s="20" t="s">
        <v>11</v>
      </c>
      <c r="D7" s="8">
        <v>18.989999999999998</v>
      </c>
      <c r="E7" s="8">
        <f t="shared" ref="E7:E15" si="0">(D7*A7)</f>
        <v>18.989999999999998</v>
      </c>
    </row>
    <row r="8" spans="1:5" hidden="1" x14ac:dyDescent="0.4">
      <c r="A8" s="7"/>
      <c r="B8" s="7"/>
      <c r="C8" s="7"/>
      <c r="D8" s="8"/>
      <c r="E8" s="8">
        <f t="shared" si="0"/>
        <v>0</v>
      </c>
    </row>
    <row r="9" spans="1:5" hidden="1" x14ac:dyDescent="0.4">
      <c r="A9" s="7"/>
      <c r="B9" s="7"/>
      <c r="C9" s="7"/>
      <c r="D9" s="8"/>
      <c r="E9" s="8">
        <f t="shared" si="0"/>
        <v>0</v>
      </c>
    </row>
    <row r="10" spans="1:5" hidden="1" x14ac:dyDescent="0.4">
      <c r="A10" s="7"/>
      <c r="B10" s="7"/>
      <c r="C10" s="7"/>
      <c r="D10" s="8"/>
      <c r="E10" s="8">
        <f t="shared" si="0"/>
        <v>0</v>
      </c>
    </row>
    <row r="11" spans="1:5" hidden="1" x14ac:dyDescent="0.4">
      <c r="A11" s="7"/>
      <c r="B11" s="7"/>
      <c r="C11" s="7"/>
      <c r="D11" s="8"/>
      <c r="E11" s="8">
        <f t="shared" si="0"/>
        <v>0</v>
      </c>
    </row>
    <row r="12" spans="1:5" hidden="1" x14ac:dyDescent="0.4">
      <c r="A12" s="7"/>
      <c r="B12" s="7"/>
      <c r="C12" s="7"/>
      <c r="D12" s="8"/>
      <c r="E12" s="8">
        <f t="shared" si="0"/>
        <v>0</v>
      </c>
    </row>
    <row r="13" spans="1:5" hidden="1" x14ac:dyDescent="0.4">
      <c r="A13" s="7"/>
      <c r="B13" s="7"/>
      <c r="C13" s="7"/>
      <c r="D13" s="8"/>
      <c r="E13" s="8">
        <f t="shared" si="0"/>
        <v>0</v>
      </c>
    </row>
    <row r="14" spans="1:5" hidden="1" x14ac:dyDescent="0.4">
      <c r="A14" s="7"/>
      <c r="B14" s="7"/>
      <c r="C14" s="7"/>
      <c r="D14" s="8"/>
      <c r="E14" s="8">
        <f t="shared" si="0"/>
        <v>0</v>
      </c>
    </row>
    <row r="15" spans="1:5" hidden="1" x14ac:dyDescent="0.4">
      <c r="A15" s="7"/>
      <c r="B15" s="7"/>
      <c r="C15" s="7"/>
      <c r="D15" s="7"/>
      <c r="E15" s="8">
        <f t="shared" si="0"/>
        <v>0</v>
      </c>
    </row>
    <row r="16" spans="1:5" x14ac:dyDescent="0.4">
      <c r="A16" s="7"/>
      <c r="B16" s="7"/>
      <c r="C16" s="29" t="s">
        <v>23</v>
      </c>
      <c r="D16" s="29"/>
      <c r="E16" s="10">
        <f>SUM(E6:E15)</f>
        <v>37.979999999999997</v>
      </c>
    </row>
    <row r="17" spans="1:5" x14ac:dyDescent="0.4">
      <c r="A17" s="1"/>
      <c r="B17" s="1"/>
      <c r="C17" s="1"/>
      <c r="D17" s="1"/>
      <c r="E17" s="1"/>
    </row>
    <row r="18" spans="1:5" x14ac:dyDescent="0.4">
      <c r="A18" s="1"/>
      <c r="B18" s="9" t="s">
        <v>24</v>
      </c>
      <c r="C18" s="30">
        <f>(C2-E16)</f>
        <v>845.87</v>
      </c>
      <c r="D18" s="30"/>
      <c r="E18" s="1"/>
    </row>
    <row r="19" spans="1:5" x14ac:dyDescent="0.4">
      <c r="A19" s="1"/>
      <c r="B19" s="9" t="s">
        <v>25</v>
      </c>
      <c r="C19" s="31">
        <f>C3+E3-E16</f>
        <v>120.87</v>
      </c>
      <c r="D19" s="31"/>
      <c r="E19" s="1"/>
    </row>
    <row r="20" spans="1:5" x14ac:dyDescent="0.4">
      <c r="A20" s="1"/>
      <c r="B20" s="1"/>
      <c r="C20" s="1"/>
      <c r="D20" s="1"/>
      <c r="E20" s="1"/>
    </row>
  </sheetData>
  <mergeCells count="4">
    <mergeCell ref="A1:E1"/>
    <mergeCell ref="C16:D16"/>
    <mergeCell ref="C18:D18"/>
    <mergeCell ref="C19:D19"/>
  </mergeCells>
  <hyperlinks>
    <hyperlink ref="C6" r:id="rId1" xr:uid="{415839B2-3265-4C8E-92DD-554248189632}"/>
    <hyperlink ref="C7" r:id="rId2" xr:uid="{37AC4A3C-8577-4DBF-90DE-1DAF557312BC}"/>
  </hyperlinks>
  <pageMargins left="0.7" right="0.7" top="0.75" bottom="0.75" header="0.3" footer="0.3"/>
  <pageSetup fitToHeight="0" orientation="landscape" blackAndWhite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44AD-18D1-4D97-B70D-FD1F4A985EAE}">
  <sheetPr>
    <pageSetUpPr fitToPage="1"/>
  </sheetPr>
  <dimension ref="A1:E20"/>
  <sheetViews>
    <sheetView zoomScale="105" workbookViewId="0">
      <selection activeCell="C3" sqref="C3"/>
    </sheetView>
  </sheetViews>
  <sheetFormatPr defaultColWidth="0" defaultRowHeight="24.6" customHeight="1" zeroHeight="1" x14ac:dyDescent="0.4"/>
  <cols>
    <col min="1" max="1" width="11.109375" style="2" customWidth="1"/>
    <col min="2" max="2" width="49.6640625" style="2" customWidth="1"/>
    <col min="3" max="3" width="17.33203125" style="2" customWidth="1"/>
    <col min="4" max="4" width="11.33203125" style="2" customWidth="1"/>
    <col min="5" max="5" width="14.109375" style="2" customWidth="1"/>
    <col min="6" max="16384" width="8.88671875" style="2" hidden="1"/>
  </cols>
  <sheetData>
    <row r="1" spans="1:5" ht="43.2" customHeight="1" x14ac:dyDescent="0.4">
      <c r="A1" s="28" t="s">
        <v>0</v>
      </c>
      <c r="B1" s="28"/>
      <c r="C1" s="28"/>
      <c r="D1" s="28"/>
      <c r="E1" s="28"/>
    </row>
    <row r="2" spans="1:5" s="3" customFormat="1" ht="26.4" customHeight="1" x14ac:dyDescent="0.35">
      <c r="A2" s="4" t="s">
        <v>1</v>
      </c>
      <c r="B2" s="4"/>
      <c r="C2" s="5">
        <v>845.87</v>
      </c>
      <c r="D2" s="4"/>
      <c r="E2" s="16" t="s">
        <v>2</v>
      </c>
    </row>
    <row r="3" spans="1:5" x14ac:dyDescent="0.4">
      <c r="A3" s="1" t="s">
        <v>3</v>
      </c>
      <c r="B3" s="13" t="s">
        <v>29</v>
      </c>
      <c r="C3" s="14">
        <v>50</v>
      </c>
      <c r="D3" s="13"/>
      <c r="E3" s="15">
        <v>120.87</v>
      </c>
    </row>
    <row r="4" spans="1:5" ht="15.6" customHeight="1" x14ac:dyDescent="0.4">
      <c r="A4" s="6"/>
      <c r="B4" s="6"/>
      <c r="C4" s="6"/>
      <c r="D4" s="6"/>
      <c r="E4" s="6"/>
    </row>
    <row r="5" spans="1:5" s="12" customFormat="1" ht="27" customHeight="1" x14ac:dyDescent="0.3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</row>
    <row r="6" spans="1:5" x14ac:dyDescent="0.4">
      <c r="A6" s="7">
        <v>1</v>
      </c>
      <c r="B6" s="7" t="s">
        <v>30</v>
      </c>
      <c r="C6" s="20" t="s">
        <v>17</v>
      </c>
      <c r="D6" s="8">
        <v>19.34</v>
      </c>
      <c r="E6" s="8">
        <f>(D6*A6)</f>
        <v>19.34</v>
      </c>
    </row>
    <row r="7" spans="1:5" x14ac:dyDescent="0.4">
      <c r="A7" s="7">
        <v>1</v>
      </c>
      <c r="B7" s="7" t="s">
        <v>31</v>
      </c>
      <c r="C7" s="20" t="s">
        <v>17</v>
      </c>
      <c r="D7" s="8">
        <v>9.64</v>
      </c>
      <c r="E7" s="8">
        <f t="shared" ref="E7:E15" si="0">(D7*A7)</f>
        <v>9.64</v>
      </c>
    </row>
    <row r="8" spans="1:5" hidden="1" x14ac:dyDescent="0.4">
      <c r="A8" s="7"/>
      <c r="B8" s="7"/>
      <c r="C8" s="7"/>
      <c r="D8" s="8"/>
      <c r="E8" s="8">
        <f t="shared" si="0"/>
        <v>0</v>
      </c>
    </row>
    <row r="9" spans="1:5" hidden="1" x14ac:dyDescent="0.4">
      <c r="A9" s="7"/>
      <c r="B9" s="7"/>
      <c r="C9" s="7"/>
      <c r="D9" s="8"/>
      <c r="E9" s="8">
        <f t="shared" si="0"/>
        <v>0</v>
      </c>
    </row>
    <row r="10" spans="1:5" hidden="1" x14ac:dyDescent="0.4">
      <c r="A10" s="7"/>
      <c r="B10" s="7"/>
      <c r="C10" s="7"/>
      <c r="D10" s="8"/>
      <c r="E10" s="8">
        <f t="shared" si="0"/>
        <v>0</v>
      </c>
    </row>
    <row r="11" spans="1:5" hidden="1" x14ac:dyDescent="0.4">
      <c r="A11" s="7"/>
      <c r="B11" s="7"/>
      <c r="C11" s="7"/>
      <c r="D11" s="8"/>
      <c r="E11" s="8">
        <f t="shared" si="0"/>
        <v>0</v>
      </c>
    </row>
    <row r="12" spans="1:5" hidden="1" x14ac:dyDescent="0.4">
      <c r="A12" s="7"/>
      <c r="B12" s="7"/>
      <c r="C12" s="7"/>
      <c r="D12" s="8"/>
      <c r="E12" s="8">
        <f t="shared" si="0"/>
        <v>0</v>
      </c>
    </row>
    <row r="13" spans="1:5" hidden="1" x14ac:dyDescent="0.4">
      <c r="A13" s="7"/>
      <c r="B13" s="7"/>
      <c r="C13" s="7"/>
      <c r="D13" s="8"/>
      <c r="E13" s="8">
        <f t="shared" si="0"/>
        <v>0</v>
      </c>
    </row>
    <row r="14" spans="1:5" hidden="1" x14ac:dyDescent="0.4">
      <c r="A14" s="7"/>
      <c r="B14" s="7"/>
      <c r="C14" s="7"/>
      <c r="D14" s="8"/>
      <c r="E14" s="8">
        <f t="shared" si="0"/>
        <v>0</v>
      </c>
    </row>
    <row r="15" spans="1:5" hidden="1" x14ac:dyDescent="0.4">
      <c r="A15" s="7"/>
      <c r="B15" s="7"/>
      <c r="C15" s="7"/>
      <c r="D15" s="7"/>
      <c r="E15" s="8">
        <f t="shared" si="0"/>
        <v>0</v>
      </c>
    </row>
    <row r="16" spans="1:5" x14ac:dyDescent="0.4">
      <c r="A16" s="7"/>
      <c r="B16" s="7"/>
      <c r="C16" s="29" t="s">
        <v>23</v>
      </c>
      <c r="D16" s="29"/>
      <c r="E16" s="10">
        <f>SUM(E6:E15)</f>
        <v>28.98</v>
      </c>
    </row>
    <row r="17" spans="1:5" x14ac:dyDescent="0.4">
      <c r="A17" s="1"/>
      <c r="B17" s="1"/>
      <c r="C17" s="1"/>
      <c r="D17" s="1"/>
      <c r="E17" s="1"/>
    </row>
    <row r="18" spans="1:5" x14ac:dyDescent="0.4">
      <c r="A18" s="1"/>
      <c r="B18" s="9" t="s">
        <v>24</v>
      </c>
      <c r="C18" s="30">
        <f>(C2-E16)</f>
        <v>816.89</v>
      </c>
      <c r="D18" s="30"/>
      <c r="E18" s="1"/>
    </row>
    <row r="19" spans="1:5" x14ac:dyDescent="0.4">
      <c r="A19" s="1"/>
      <c r="B19" s="9" t="s">
        <v>25</v>
      </c>
      <c r="C19" s="31">
        <f>C3+E3-E16</f>
        <v>141.89000000000001</v>
      </c>
      <c r="D19" s="31"/>
      <c r="E19" s="1"/>
    </row>
    <row r="20" spans="1:5" x14ac:dyDescent="0.4">
      <c r="A20" s="1"/>
      <c r="B20" s="1"/>
      <c r="C20" s="1"/>
      <c r="D20" s="1"/>
      <c r="E20" s="1"/>
    </row>
  </sheetData>
  <mergeCells count="4">
    <mergeCell ref="A1:E1"/>
    <mergeCell ref="C16:D16"/>
    <mergeCell ref="C18:D18"/>
    <mergeCell ref="C19:D19"/>
  </mergeCells>
  <hyperlinks>
    <hyperlink ref="C6" r:id="rId1" xr:uid="{7AC67E52-EE58-4E72-BDD4-68ED9D748D1C}"/>
    <hyperlink ref="C7" r:id="rId2" xr:uid="{749BE5E0-CFFB-4E2B-9B7B-BE840E63D62E}"/>
  </hyperlinks>
  <pageMargins left="0.7" right="0.7" top="0.75" bottom="0.75" header="0.3" footer="0.3"/>
  <pageSetup fitToHeight="0" orientation="landscape" blackAndWhite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19FA-100B-4235-8E9A-FD26AE7A7E45}">
  <dimension ref="A1:E24"/>
  <sheetViews>
    <sheetView topLeftCell="A8" zoomScale="105" workbookViewId="0">
      <selection activeCell="C16" sqref="C16"/>
    </sheetView>
  </sheetViews>
  <sheetFormatPr defaultColWidth="0" defaultRowHeight="24.6" customHeight="1" zeroHeight="1" x14ac:dyDescent="0.4"/>
  <cols>
    <col min="1" max="1" width="11.109375" style="2" customWidth="1"/>
    <col min="2" max="2" width="49.6640625" style="2" customWidth="1"/>
    <col min="3" max="3" width="17.33203125" style="2" customWidth="1"/>
    <col min="4" max="4" width="11.33203125" style="2" customWidth="1"/>
    <col min="5" max="5" width="14.109375" style="2" customWidth="1"/>
    <col min="6" max="16384" width="8.88671875" style="2" hidden="1"/>
  </cols>
  <sheetData>
    <row r="1" spans="1:5" ht="43.2" customHeight="1" x14ac:dyDescent="0.4">
      <c r="A1" s="28" t="s">
        <v>0</v>
      </c>
      <c r="B1" s="28"/>
      <c r="C1" s="28"/>
      <c r="D1" s="28"/>
      <c r="E1" s="28"/>
    </row>
    <row r="2" spans="1:5" s="3" customFormat="1" ht="26.4" customHeight="1" x14ac:dyDescent="0.35">
      <c r="A2" s="4" t="s">
        <v>1</v>
      </c>
      <c r="B2" s="4"/>
      <c r="C2" s="5">
        <v>816.89</v>
      </c>
      <c r="D2" s="4"/>
      <c r="E2" s="18" t="s">
        <v>2</v>
      </c>
    </row>
    <row r="3" spans="1:5" x14ac:dyDescent="0.4">
      <c r="A3" s="1" t="s">
        <v>3</v>
      </c>
      <c r="B3" s="13" t="s">
        <v>32</v>
      </c>
      <c r="C3" s="14">
        <v>175</v>
      </c>
      <c r="D3" s="13"/>
      <c r="E3" s="17">
        <v>141.88999999999999</v>
      </c>
    </row>
    <row r="4" spans="1:5" ht="15.6" customHeight="1" x14ac:dyDescent="0.4">
      <c r="A4" s="6"/>
      <c r="B4" s="6"/>
      <c r="C4" s="6"/>
      <c r="D4" s="6"/>
      <c r="E4" s="6"/>
    </row>
    <row r="5" spans="1:5" s="12" customFormat="1" ht="27" customHeight="1" x14ac:dyDescent="0.3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</row>
    <row r="6" spans="1:5" x14ac:dyDescent="0.4">
      <c r="A6" s="7">
        <v>1</v>
      </c>
      <c r="B6" s="7" t="s">
        <v>33</v>
      </c>
      <c r="C6" s="20" t="s">
        <v>11</v>
      </c>
      <c r="D6" s="8">
        <v>9.14</v>
      </c>
      <c r="E6" s="8">
        <f>(D6*A6)</f>
        <v>9.14</v>
      </c>
    </row>
    <row r="7" spans="1:5" x14ac:dyDescent="0.4">
      <c r="A7" s="7">
        <v>1</v>
      </c>
      <c r="B7" s="7" t="s">
        <v>34</v>
      </c>
      <c r="C7" s="20" t="s">
        <v>11</v>
      </c>
      <c r="D7" s="8">
        <v>34.950000000000003</v>
      </c>
      <c r="E7" s="8">
        <f t="shared" ref="E7:E19" si="0">(D7*A7)</f>
        <v>34.950000000000003</v>
      </c>
    </row>
    <row r="8" spans="1:5" x14ac:dyDescent="0.4">
      <c r="A8" s="7">
        <v>1</v>
      </c>
      <c r="B8" s="7" t="s">
        <v>35</v>
      </c>
      <c r="C8" s="20" t="s">
        <v>11</v>
      </c>
      <c r="D8" s="8">
        <v>9.4700000000000006</v>
      </c>
      <c r="E8" s="8">
        <f t="shared" si="0"/>
        <v>9.4700000000000006</v>
      </c>
    </row>
    <row r="9" spans="1:5" x14ac:dyDescent="0.4">
      <c r="A9" s="7">
        <v>1</v>
      </c>
      <c r="B9" s="7" t="s">
        <v>36</v>
      </c>
      <c r="C9" s="20" t="s">
        <v>11</v>
      </c>
      <c r="D9" s="8">
        <v>22.43</v>
      </c>
      <c r="E9" s="8">
        <f t="shared" si="0"/>
        <v>22.43</v>
      </c>
    </row>
    <row r="10" spans="1:5" x14ac:dyDescent="0.4">
      <c r="A10" s="7">
        <v>1</v>
      </c>
      <c r="B10" s="7" t="s">
        <v>37</v>
      </c>
      <c r="C10" s="20" t="s">
        <v>11</v>
      </c>
      <c r="D10" s="8">
        <v>15.67</v>
      </c>
      <c r="E10" s="8">
        <f t="shared" si="0"/>
        <v>15.67</v>
      </c>
    </row>
    <row r="11" spans="1:5" x14ac:dyDescent="0.4">
      <c r="A11" s="7">
        <v>1</v>
      </c>
      <c r="B11" s="7" t="s">
        <v>38</v>
      </c>
      <c r="C11" s="20" t="s">
        <v>11</v>
      </c>
      <c r="D11" s="8">
        <v>9.99</v>
      </c>
      <c r="E11" s="8">
        <f t="shared" si="0"/>
        <v>9.99</v>
      </c>
    </row>
    <row r="12" spans="1:5" x14ac:dyDescent="0.4">
      <c r="A12" s="7">
        <v>2</v>
      </c>
      <c r="B12" s="7" t="s">
        <v>39</v>
      </c>
      <c r="C12" s="20" t="s">
        <v>11</v>
      </c>
      <c r="D12" s="8">
        <v>9.99</v>
      </c>
      <c r="E12" s="8">
        <f t="shared" si="0"/>
        <v>19.98</v>
      </c>
    </row>
    <row r="13" spans="1:5" x14ac:dyDescent="0.4">
      <c r="A13" s="7">
        <v>2</v>
      </c>
      <c r="B13" s="7" t="s">
        <v>40</v>
      </c>
      <c r="C13" s="20" t="s">
        <v>41</v>
      </c>
      <c r="D13" s="8">
        <v>4.74</v>
      </c>
      <c r="E13" s="8">
        <f t="shared" si="0"/>
        <v>9.48</v>
      </c>
    </row>
    <row r="14" spans="1:5" x14ac:dyDescent="0.4">
      <c r="A14" s="7">
        <v>1</v>
      </c>
      <c r="B14" s="7" t="s">
        <v>42</v>
      </c>
      <c r="C14" s="20" t="s">
        <v>41</v>
      </c>
      <c r="D14" s="8">
        <v>15.98</v>
      </c>
      <c r="E14" s="8">
        <f t="shared" si="0"/>
        <v>15.98</v>
      </c>
    </row>
    <row r="15" spans="1:5" x14ac:dyDescent="0.4">
      <c r="A15" s="7">
        <v>1</v>
      </c>
      <c r="B15" s="7" t="s">
        <v>43</v>
      </c>
      <c r="C15" s="20" t="s">
        <v>41</v>
      </c>
      <c r="D15" s="8">
        <v>34.979999999999997</v>
      </c>
      <c r="E15" s="8">
        <f t="shared" si="0"/>
        <v>34.979999999999997</v>
      </c>
    </row>
    <row r="16" spans="1:5" x14ac:dyDescent="0.4">
      <c r="A16" s="7">
        <v>1</v>
      </c>
      <c r="B16" s="7" t="s">
        <v>44</v>
      </c>
      <c r="C16" s="20" t="s">
        <v>41</v>
      </c>
      <c r="D16" s="8">
        <v>4.4800000000000004</v>
      </c>
      <c r="E16" s="8">
        <f t="shared" si="0"/>
        <v>4.4800000000000004</v>
      </c>
    </row>
    <row r="17" spans="1:5" x14ac:dyDescent="0.4">
      <c r="A17" s="7">
        <v>1</v>
      </c>
      <c r="B17" s="7" t="s">
        <v>45</v>
      </c>
      <c r="C17" s="20" t="s">
        <v>41</v>
      </c>
      <c r="D17" s="8">
        <v>3.19</v>
      </c>
      <c r="E17" s="8">
        <f t="shared" si="0"/>
        <v>3.19</v>
      </c>
    </row>
    <row r="18" spans="1:5" x14ac:dyDescent="0.4">
      <c r="A18" s="7">
        <v>1</v>
      </c>
      <c r="B18" s="7" t="s">
        <v>46</v>
      </c>
      <c r="C18" s="20" t="s">
        <v>41</v>
      </c>
      <c r="D18" s="8">
        <v>11.44</v>
      </c>
      <c r="E18" s="8">
        <f t="shared" si="0"/>
        <v>11.44</v>
      </c>
    </row>
    <row r="19" spans="1:5" x14ac:dyDescent="0.4">
      <c r="A19" s="7">
        <v>2</v>
      </c>
      <c r="B19" s="7" t="s">
        <v>47</v>
      </c>
      <c r="C19" s="20" t="s">
        <v>41</v>
      </c>
      <c r="D19" s="8">
        <v>5.94</v>
      </c>
      <c r="E19" s="8">
        <f t="shared" si="0"/>
        <v>11.88</v>
      </c>
    </row>
    <row r="20" spans="1:5" x14ac:dyDescent="0.4">
      <c r="A20" s="7"/>
      <c r="B20" s="7"/>
      <c r="C20" s="29" t="s">
        <v>23</v>
      </c>
      <c r="D20" s="29"/>
      <c r="E20" s="10">
        <f>SUM(E6:E19)</f>
        <v>213.05999999999997</v>
      </c>
    </row>
    <row r="21" spans="1:5" x14ac:dyDescent="0.4">
      <c r="A21" s="1"/>
      <c r="B21" s="1"/>
      <c r="C21" s="1"/>
      <c r="D21" s="1"/>
      <c r="E21" s="1"/>
    </row>
    <row r="22" spans="1:5" x14ac:dyDescent="0.4">
      <c r="A22" s="1"/>
      <c r="B22" s="9" t="s">
        <v>24</v>
      </c>
      <c r="C22" s="30">
        <f>(C2-E20)</f>
        <v>603.83000000000004</v>
      </c>
      <c r="D22" s="30"/>
      <c r="E22" s="1"/>
    </row>
    <row r="23" spans="1:5" x14ac:dyDescent="0.4">
      <c r="A23" s="1"/>
      <c r="B23" s="9" t="s">
        <v>25</v>
      </c>
      <c r="C23" s="31">
        <f>C3+E3-E20</f>
        <v>103.83000000000001</v>
      </c>
      <c r="D23" s="31"/>
      <c r="E23" s="1"/>
    </row>
    <row r="24" spans="1:5" x14ac:dyDescent="0.4">
      <c r="A24" s="1"/>
      <c r="B24" s="1"/>
      <c r="C24" s="1"/>
      <c r="D24" s="1"/>
      <c r="E24" s="1"/>
    </row>
  </sheetData>
  <mergeCells count="4">
    <mergeCell ref="A1:E1"/>
    <mergeCell ref="C20:D20"/>
    <mergeCell ref="C22:D22"/>
    <mergeCell ref="C23:D23"/>
  </mergeCells>
  <hyperlinks>
    <hyperlink ref="C6" r:id="rId1" xr:uid="{A243795C-CBA5-4DE4-BEF6-C91AE5D7487C}"/>
    <hyperlink ref="C7" r:id="rId2" xr:uid="{AA55ABF7-FFF6-4D3E-B3C9-BC07F2B81CDC}"/>
    <hyperlink ref="C8" r:id="rId3" xr:uid="{87B969E6-1A32-4DCF-AEB6-60D7F8F106BD}"/>
    <hyperlink ref="C9" r:id="rId4" xr:uid="{FDD3981C-A273-4E9A-873A-4E092FAAC6C3}"/>
    <hyperlink ref="C10" r:id="rId5" xr:uid="{A7AE6871-11CE-4BE2-9366-6D4A50168058}"/>
    <hyperlink ref="C11" r:id="rId6" xr:uid="{E4F46B7D-6BEF-4D32-B063-FE0D3B04FFB0}"/>
    <hyperlink ref="C12" r:id="rId7" xr:uid="{3BD86D03-0368-43D0-A55D-642596CEEE1A}"/>
    <hyperlink ref="C13" r:id="rId8" xr:uid="{4D59FE8A-41E7-4EB0-8804-03FE1B987592}"/>
    <hyperlink ref="C14" r:id="rId9" xr:uid="{4ED34270-80CF-4103-A4D1-DCF4F69713C9}"/>
    <hyperlink ref="C16" r:id="rId10" xr:uid="{0BA832C4-3144-4233-B2A9-792A7240E3EA}"/>
    <hyperlink ref="C17" r:id="rId11" xr:uid="{F45F5161-7EC5-4832-A0F4-0186DCE80A48}"/>
    <hyperlink ref="C18" r:id="rId12" xr:uid="{C6623E5F-71A0-4082-A2A0-26FF65919C8D}"/>
    <hyperlink ref="C19" r:id="rId13" xr:uid="{7BEE3C18-3034-4C5E-9980-86595369774D}"/>
    <hyperlink ref="C15" r:id="rId14" xr:uid="{F3FA2B22-CA17-4829-B6D2-93EC2E24860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2FDD-ED07-4815-B4C3-7D8751FCD814}">
  <sheetPr>
    <pageSetUpPr fitToPage="1"/>
  </sheetPr>
  <dimension ref="A1:E20"/>
  <sheetViews>
    <sheetView zoomScale="105" workbookViewId="0">
      <selection activeCell="B16" sqref="B16"/>
    </sheetView>
  </sheetViews>
  <sheetFormatPr defaultColWidth="0" defaultRowHeight="24.6" customHeight="1" zeroHeight="1" x14ac:dyDescent="0.4"/>
  <cols>
    <col min="1" max="1" width="11.109375" style="2" customWidth="1"/>
    <col min="2" max="2" width="49.6640625" style="2" customWidth="1"/>
    <col min="3" max="3" width="17.33203125" style="2" customWidth="1"/>
    <col min="4" max="4" width="11.33203125" style="2" customWidth="1"/>
    <col min="5" max="5" width="14.109375" style="2" customWidth="1"/>
    <col min="6" max="16384" width="8.88671875" style="2" hidden="1"/>
  </cols>
  <sheetData>
    <row r="1" spans="1:5" ht="43.2" customHeight="1" x14ac:dyDescent="0.4">
      <c r="A1" s="28" t="s">
        <v>0</v>
      </c>
      <c r="B1" s="28"/>
      <c r="C1" s="28"/>
      <c r="D1" s="28"/>
      <c r="E1" s="28"/>
    </row>
    <row r="2" spans="1:5" s="3" customFormat="1" ht="26.4" customHeight="1" x14ac:dyDescent="0.35">
      <c r="A2" s="4" t="s">
        <v>1</v>
      </c>
      <c r="B2" s="4"/>
      <c r="C2" s="5">
        <v>603.83000000000004</v>
      </c>
      <c r="D2" s="4"/>
      <c r="E2" s="16"/>
    </row>
    <row r="3" spans="1:5" hidden="1" x14ac:dyDescent="0.4">
      <c r="A3" s="1" t="s">
        <v>3</v>
      </c>
      <c r="B3" s="13"/>
      <c r="C3" s="14"/>
      <c r="D3" s="13"/>
      <c r="E3" s="15"/>
    </row>
    <row r="4" spans="1:5" ht="15.6" customHeight="1" x14ac:dyDescent="0.4">
      <c r="A4" s="6"/>
      <c r="B4" s="6"/>
      <c r="C4" s="6"/>
      <c r="D4" s="6"/>
      <c r="E4" s="6"/>
    </row>
    <row r="5" spans="1:5" s="12" customFormat="1" ht="27" customHeight="1" x14ac:dyDescent="0.3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</row>
    <row r="6" spans="1:5" x14ac:dyDescent="0.4">
      <c r="A6" s="7">
        <v>1</v>
      </c>
      <c r="B6" s="7" t="s">
        <v>48</v>
      </c>
      <c r="C6" s="22" t="s">
        <v>49</v>
      </c>
      <c r="D6" s="8">
        <v>50.29</v>
      </c>
      <c r="E6" s="8">
        <f>(D6*A6)</f>
        <v>50.29</v>
      </c>
    </row>
    <row r="7" spans="1:5" hidden="1" x14ac:dyDescent="0.4">
      <c r="A7" s="7"/>
      <c r="B7" s="7"/>
      <c r="C7" s="20"/>
      <c r="D7" s="8"/>
      <c r="E7" s="8">
        <f t="shared" ref="E7:E15" si="0">(D7*A7)</f>
        <v>0</v>
      </c>
    </row>
    <row r="8" spans="1:5" hidden="1" x14ac:dyDescent="0.4">
      <c r="A8" s="7"/>
      <c r="B8" s="7"/>
      <c r="C8" s="7"/>
      <c r="D8" s="8"/>
      <c r="E8" s="8">
        <f t="shared" si="0"/>
        <v>0</v>
      </c>
    </row>
    <row r="9" spans="1:5" hidden="1" x14ac:dyDescent="0.4">
      <c r="A9" s="7"/>
      <c r="B9" s="7"/>
      <c r="C9" s="7"/>
      <c r="D9" s="8"/>
      <c r="E9" s="8">
        <f t="shared" si="0"/>
        <v>0</v>
      </c>
    </row>
    <row r="10" spans="1:5" hidden="1" x14ac:dyDescent="0.4">
      <c r="A10" s="7"/>
      <c r="B10" s="7"/>
      <c r="C10" s="7"/>
      <c r="D10" s="8"/>
      <c r="E10" s="8">
        <f t="shared" si="0"/>
        <v>0</v>
      </c>
    </row>
    <row r="11" spans="1:5" hidden="1" x14ac:dyDescent="0.4">
      <c r="A11" s="7"/>
      <c r="B11" s="7"/>
      <c r="C11" s="7"/>
      <c r="D11" s="8"/>
      <c r="E11" s="8">
        <f t="shared" si="0"/>
        <v>0</v>
      </c>
    </row>
    <row r="12" spans="1:5" hidden="1" x14ac:dyDescent="0.4">
      <c r="A12" s="7"/>
      <c r="B12" s="7"/>
      <c r="C12" s="7"/>
      <c r="D12" s="8"/>
      <c r="E12" s="8">
        <f t="shared" si="0"/>
        <v>0</v>
      </c>
    </row>
    <row r="13" spans="1:5" hidden="1" x14ac:dyDescent="0.4">
      <c r="A13" s="7"/>
      <c r="B13" s="7"/>
      <c r="C13" s="7"/>
      <c r="D13" s="8"/>
      <c r="E13" s="8">
        <f t="shared" si="0"/>
        <v>0</v>
      </c>
    </row>
    <row r="14" spans="1:5" hidden="1" x14ac:dyDescent="0.4">
      <c r="A14" s="7"/>
      <c r="B14" s="7"/>
      <c r="C14" s="7"/>
      <c r="D14" s="8"/>
      <c r="E14" s="8">
        <f t="shared" si="0"/>
        <v>0</v>
      </c>
    </row>
    <row r="15" spans="1:5" hidden="1" x14ac:dyDescent="0.4">
      <c r="A15" s="7"/>
      <c r="B15" s="7"/>
      <c r="C15" s="7"/>
      <c r="D15" s="7"/>
      <c r="E15" s="8">
        <f t="shared" si="0"/>
        <v>0</v>
      </c>
    </row>
    <row r="16" spans="1:5" x14ac:dyDescent="0.4">
      <c r="A16" s="7"/>
      <c r="B16" s="7"/>
      <c r="C16" s="29" t="s">
        <v>50</v>
      </c>
      <c r="D16" s="29"/>
      <c r="E16" s="10">
        <f>SUM(E6:E15)</f>
        <v>50.29</v>
      </c>
    </row>
    <row r="17" spans="1:5" x14ac:dyDescent="0.4">
      <c r="A17" s="1"/>
      <c r="B17" s="1"/>
      <c r="C17" s="1"/>
      <c r="D17" s="1"/>
      <c r="E17" s="1"/>
    </row>
    <row r="18" spans="1:5" x14ac:dyDescent="0.4">
      <c r="A18" s="1"/>
      <c r="B18" s="9" t="s">
        <v>24</v>
      </c>
      <c r="C18" s="30">
        <f>(C2+E16)</f>
        <v>654.12</v>
      </c>
      <c r="D18" s="30"/>
      <c r="E18" s="1"/>
    </row>
    <row r="19" spans="1:5" x14ac:dyDescent="0.4">
      <c r="A19" s="1"/>
      <c r="B19" s="9"/>
      <c r="C19" s="31"/>
      <c r="D19" s="31"/>
      <c r="E19" s="1"/>
    </row>
    <row r="20" spans="1:5" x14ac:dyDescent="0.4">
      <c r="A20" s="1"/>
      <c r="B20" s="1"/>
      <c r="C20" s="1"/>
      <c r="D20" s="1"/>
      <c r="E20" s="1"/>
    </row>
  </sheetData>
  <mergeCells count="4">
    <mergeCell ref="A1:E1"/>
    <mergeCell ref="C16:D16"/>
    <mergeCell ref="C18:D18"/>
    <mergeCell ref="C19:D19"/>
  </mergeCells>
  <pageMargins left="0.7" right="0.7" top="0.75" bottom="0.75" header="0.3" footer="0.3"/>
  <pageSetup fitToHeight="0" orientation="landscape" blackAndWhite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FFFB-47BF-4B2F-BEEC-7EDE63F85969}">
  <dimension ref="A1:E20"/>
  <sheetViews>
    <sheetView tabSelected="1" zoomScale="105" workbookViewId="0">
      <selection activeCell="C19" sqref="C19:D19"/>
    </sheetView>
  </sheetViews>
  <sheetFormatPr defaultColWidth="0" defaultRowHeight="24.6" zeroHeight="1" x14ac:dyDescent="0.4"/>
  <cols>
    <col min="1" max="1" width="11.109375" style="2" customWidth="1"/>
    <col min="2" max="2" width="49.6640625" style="2" customWidth="1"/>
    <col min="3" max="3" width="17.33203125" style="2" customWidth="1"/>
    <col min="4" max="4" width="11.33203125" style="2" customWidth="1"/>
    <col min="5" max="5" width="14.109375" style="2" customWidth="1"/>
    <col min="6" max="16384" width="8.88671875" style="2" hidden="1"/>
  </cols>
  <sheetData>
    <row r="1" spans="1:5" ht="43.2" customHeight="1" x14ac:dyDescent="0.4">
      <c r="A1" s="28" t="s">
        <v>0</v>
      </c>
      <c r="B1" s="28"/>
      <c r="C1" s="28"/>
      <c r="D1" s="28"/>
      <c r="E1" s="28"/>
    </row>
    <row r="2" spans="1:5" s="3" customFormat="1" ht="26.4" customHeight="1" x14ac:dyDescent="0.35">
      <c r="A2" s="4" t="s">
        <v>1</v>
      </c>
      <c r="B2" s="4"/>
      <c r="C2" s="5">
        <v>1000</v>
      </c>
      <c r="D2" s="4"/>
      <c r="E2" s="18" t="s">
        <v>2</v>
      </c>
    </row>
    <row r="3" spans="1:5" ht="24.6" customHeight="1" x14ac:dyDescent="0.4">
      <c r="A3" s="1" t="s">
        <v>3</v>
      </c>
      <c r="B3" s="13" t="s">
        <v>51</v>
      </c>
      <c r="C3" s="19">
        <v>100</v>
      </c>
      <c r="D3" s="13"/>
      <c r="E3" s="17">
        <v>26.09</v>
      </c>
    </row>
    <row r="4" spans="1:5" ht="15.6" customHeight="1" x14ac:dyDescent="0.4">
      <c r="A4" s="6"/>
      <c r="B4" s="6"/>
      <c r="C4" s="6"/>
      <c r="D4" s="6"/>
      <c r="E4" s="6"/>
    </row>
    <row r="5" spans="1:5" s="12" customFormat="1" ht="27" customHeight="1" x14ac:dyDescent="0.3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</row>
    <row r="6" spans="1:5" x14ac:dyDescent="0.4">
      <c r="A6" s="7">
        <v>2</v>
      </c>
      <c r="B6" s="7" t="s">
        <v>52</v>
      </c>
      <c r="C6" s="7" t="s">
        <v>17</v>
      </c>
      <c r="D6" s="8">
        <v>11.99</v>
      </c>
      <c r="E6" s="8">
        <f>(D6*A6)</f>
        <v>23.98</v>
      </c>
    </row>
    <row r="7" spans="1:5" x14ac:dyDescent="0.4">
      <c r="A7" s="7">
        <v>1</v>
      </c>
      <c r="B7" s="7" t="s">
        <v>53</v>
      </c>
      <c r="C7" s="7" t="s">
        <v>11</v>
      </c>
      <c r="D7" s="8">
        <v>12.98</v>
      </c>
      <c r="E7" s="8">
        <f t="shared" ref="E7:E15" si="0">(D7*A7)</f>
        <v>12.98</v>
      </c>
    </row>
    <row r="8" spans="1:5" x14ac:dyDescent="0.4">
      <c r="A8" s="7">
        <v>3</v>
      </c>
      <c r="B8" s="7" t="s">
        <v>54</v>
      </c>
      <c r="C8" s="7" t="s">
        <v>55</v>
      </c>
      <c r="D8" s="8">
        <v>21.76</v>
      </c>
      <c r="E8" s="8">
        <f t="shared" si="0"/>
        <v>65.28</v>
      </c>
    </row>
    <row r="9" spans="1:5" x14ac:dyDescent="0.4">
      <c r="A9" s="7">
        <v>1</v>
      </c>
      <c r="B9" s="7" t="s">
        <v>56</v>
      </c>
      <c r="C9" s="7" t="s">
        <v>17</v>
      </c>
      <c r="D9" s="8">
        <v>11.99</v>
      </c>
      <c r="E9" s="8">
        <f t="shared" si="0"/>
        <v>11.99</v>
      </c>
    </row>
    <row r="10" spans="1:5" x14ac:dyDescent="0.4">
      <c r="A10" s="7"/>
      <c r="B10" s="7"/>
      <c r="C10" s="7"/>
      <c r="D10" s="8"/>
      <c r="E10" s="8">
        <f t="shared" si="0"/>
        <v>0</v>
      </c>
    </row>
    <row r="11" spans="1:5" x14ac:dyDescent="0.4">
      <c r="A11" s="7"/>
      <c r="B11" s="7"/>
      <c r="C11" s="7"/>
      <c r="D11" s="8"/>
      <c r="E11" s="8">
        <f t="shared" si="0"/>
        <v>0</v>
      </c>
    </row>
    <row r="12" spans="1:5" x14ac:dyDescent="0.4">
      <c r="A12" s="7"/>
      <c r="B12" s="7"/>
      <c r="C12" s="7"/>
      <c r="D12" s="8"/>
      <c r="E12" s="8">
        <f t="shared" si="0"/>
        <v>0</v>
      </c>
    </row>
    <row r="13" spans="1:5" x14ac:dyDescent="0.4">
      <c r="A13" s="7"/>
      <c r="B13" s="7"/>
      <c r="C13" s="7"/>
      <c r="D13" s="8"/>
      <c r="E13" s="8">
        <f t="shared" si="0"/>
        <v>0</v>
      </c>
    </row>
    <row r="14" spans="1:5" x14ac:dyDescent="0.4">
      <c r="A14" s="7"/>
      <c r="B14" s="7"/>
      <c r="C14" s="7"/>
      <c r="D14" s="8"/>
      <c r="E14" s="8">
        <f t="shared" si="0"/>
        <v>0</v>
      </c>
    </row>
    <row r="15" spans="1:5" x14ac:dyDescent="0.4">
      <c r="A15" s="7"/>
      <c r="B15" s="7"/>
      <c r="C15" s="7"/>
      <c r="D15" s="7"/>
      <c r="E15" s="8">
        <f t="shared" si="0"/>
        <v>0</v>
      </c>
    </row>
    <row r="16" spans="1:5" ht="25.2" thickBot="1" x14ac:dyDescent="0.45">
      <c r="A16" s="7"/>
      <c r="B16" s="7"/>
      <c r="C16" s="29" t="s">
        <v>23</v>
      </c>
      <c r="D16" s="29"/>
      <c r="E16" s="10">
        <f>SUM(E6:E15)</f>
        <v>114.23</v>
      </c>
    </row>
    <row r="17" spans="1:5" x14ac:dyDescent="0.4">
      <c r="A17" s="1"/>
      <c r="B17" s="1"/>
      <c r="C17" s="1"/>
      <c r="D17" s="1"/>
      <c r="E17" s="1"/>
    </row>
    <row r="18" spans="1:5" x14ac:dyDescent="0.4">
      <c r="A18" s="1"/>
      <c r="B18" s="9" t="s">
        <v>24</v>
      </c>
      <c r="C18" s="30">
        <f>(C2-E16)</f>
        <v>885.77</v>
      </c>
      <c r="D18" s="30"/>
      <c r="E18" s="1"/>
    </row>
    <row r="19" spans="1:5" ht="25.2" customHeight="1" x14ac:dyDescent="0.4">
      <c r="A19" s="1"/>
      <c r="B19" s="9" t="s">
        <v>25</v>
      </c>
      <c r="C19" s="31">
        <f>C3+E3-E16</f>
        <v>11.86</v>
      </c>
      <c r="D19" s="32"/>
      <c r="E19" s="1"/>
    </row>
    <row r="20" spans="1:5" x14ac:dyDescent="0.4">
      <c r="A20" s="1"/>
      <c r="B20" s="1"/>
      <c r="C20" s="1"/>
      <c r="D20" s="1"/>
      <c r="E20" s="1"/>
    </row>
  </sheetData>
  <mergeCells count="4">
    <mergeCell ref="A1:E1"/>
    <mergeCell ref="C16:D16"/>
    <mergeCell ref="C18:D18"/>
    <mergeCell ref="C19:D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BDC1-99F9-4EE3-97C3-80B8BB726581}">
  <sheetPr>
    <pageSetUpPr fitToPage="1"/>
  </sheetPr>
  <dimension ref="A1:E22"/>
  <sheetViews>
    <sheetView topLeftCell="B1" zoomScale="60" workbookViewId="0">
      <selection activeCell="B44" sqref="B44"/>
    </sheetView>
  </sheetViews>
  <sheetFormatPr defaultRowHeight="14.4" x14ac:dyDescent="0.3"/>
  <cols>
    <col min="1" max="1" width="26.6640625" customWidth="1"/>
    <col min="2" max="2" width="55.33203125" customWidth="1"/>
    <col min="3" max="5" width="29.6640625" customWidth="1"/>
  </cols>
  <sheetData>
    <row r="1" spans="1:5" ht="24.6" x14ac:dyDescent="0.4">
      <c r="A1" s="28" t="s">
        <v>0</v>
      </c>
      <c r="B1" s="28"/>
      <c r="C1" s="28"/>
      <c r="D1" s="28"/>
      <c r="E1" s="28"/>
    </row>
    <row r="2" spans="1:5" ht="19.2" x14ac:dyDescent="0.35">
      <c r="A2" s="4" t="s">
        <v>1</v>
      </c>
      <c r="B2" s="4"/>
      <c r="C2" s="5">
        <v>1000</v>
      </c>
      <c r="D2" s="4"/>
      <c r="E2" s="18" t="s">
        <v>2</v>
      </c>
    </row>
    <row r="3" spans="1:5" ht="24.6" x14ac:dyDescent="0.4">
      <c r="A3" s="1" t="s">
        <v>3</v>
      </c>
      <c r="B3" s="13" t="s">
        <v>57</v>
      </c>
      <c r="C3" s="21">
        <v>1000</v>
      </c>
      <c r="D3" s="13"/>
      <c r="E3" s="17"/>
    </row>
    <row r="4" spans="1:5" ht="24.6" x14ac:dyDescent="0.4">
      <c r="A4" s="6"/>
      <c r="B4" s="6"/>
      <c r="C4" s="6"/>
      <c r="D4" s="6"/>
      <c r="E4" s="6"/>
    </row>
    <row r="5" spans="1:5" ht="19.2" x14ac:dyDescent="0.3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</row>
    <row r="6" spans="1:5" ht="19.2" x14ac:dyDescent="0.35">
      <c r="A6" s="7">
        <v>1</v>
      </c>
      <c r="B6" s="7" t="s">
        <v>58</v>
      </c>
      <c r="C6" s="24" t="s">
        <v>11</v>
      </c>
      <c r="D6" s="8">
        <v>105.06</v>
      </c>
      <c r="E6" s="8">
        <f>D6*A6</f>
        <v>105.06</v>
      </c>
    </row>
    <row r="7" spans="1:5" ht="19.2" x14ac:dyDescent="0.35">
      <c r="A7" s="7">
        <v>3</v>
      </c>
      <c r="B7" s="7" t="s">
        <v>59</v>
      </c>
      <c r="C7" s="23" t="s">
        <v>11</v>
      </c>
      <c r="D7" s="8">
        <v>139.99</v>
      </c>
      <c r="E7" s="8">
        <f t="shared" ref="E7:E14" si="0">D7*A7</f>
        <v>419.97</v>
      </c>
    </row>
    <row r="8" spans="1:5" ht="19.2" x14ac:dyDescent="0.35">
      <c r="A8" s="7">
        <v>1</v>
      </c>
      <c r="B8" s="7" t="s">
        <v>60</v>
      </c>
      <c r="C8" s="23" t="s">
        <v>11</v>
      </c>
      <c r="D8" s="8">
        <v>119.99</v>
      </c>
      <c r="E8" s="8">
        <f t="shared" si="0"/>
        <v>119.99</v>
      </c>
    </row>
    <row r="9" spans="1:5" ht="19.2" x14ac:dyDescent="0.35">
      <c r="A9" s="27">
        <v>1</v>
      </c>
      <c r="B9" s="25" t="s">
        <v>61</v>
      </c>
      <c r="C9" s="24" t="s">
        <v>11</v>
      </c>
      <c r="D9" s="26">
        <v>13.99</v>
      </c>
      <c r="E9" s="8">
        <f t="shared" si="0"/>
        <v>13.99</v>
      </c>
    </row>
    <row r="10" spans="1:5" ht="19.2" x14ac:dyDescent="0.35">
      <c r="A10" s="7">
        <v>2</v>
      </c>
      <c r="B10" s="7" t="s">
        <v>62</v>
      </c>
      <c r="C10" s="23" t="s">
        <v>11</v>
      </c>
      <c r="D10" s="8">
        <v>18.75</v>
      </c>
      <c r="E10" s="8">
        <f t="shared" si="0"/>
        <v>37.5</v>
      </c>
    </row>
    <row r="11" spans="1:5" ht="19.2" x14ac:dyDescent="0.35">
      <c r="A11" s="27">
        <v>1</v>
      </c>
      <c r="B11" s="25" t="s">
        <v>63</v>
      </c>
      <c r="C11" s="24" t="s">
        <v>11</v>
      </c>
      <c r="D11" s="26">
        <v>19.95</v>
      </c>
      <c r="E11" s="8">
        <f t="shared" si="0"/>
        <v>19.95</v>
      </c>
    </row>
    <row r="12" spans="1:5" ht="19.2" x14ac:dyDescent="0.35">
      <c r="A12" s="7">
        <v>1</v>
      </c>
      <c r="B12" s="7" t="s">
        <v>64</v>
      </c>
      <c r="C12" s="23" t="s">
        <v>11</v>
      </c>
      <c r="D12" s="8">
        <v>27.98</v>
      </c>
      <c r="E12" s="8">
        <f t="shared" si="0"/>
        <v>27.98</v>
      </c>
    </row>
    <row r="13" spans="1:5" ht="19.2" x14ac:dyDescent="0.35">
      <c r="A13" s="7">
        <v>1</v>
      </c>
      <c r="B13" s="7" t="s">
        <v>65</v>
      </c>
      <c r="C13" s="24" t="s">
        <v>11</v>
      </c>
      <c r="D13" s="8">
        <v>129.99</v>
      </c>
      <c r="E13" s="8">
        <f t="shared" si="0"/>
        <v>129.99</v>
      </c>
    </row>
    <row r="14" spans="1:5" ht="19.2" x14ac:dyDescent="0.35">
      <c r="A14" s="7">
        <v>1</v>
      </c>
      <c r="B14" s="7" t="s">
        <v>66</v>
      </c>
      <c r="C14" s="24" t="s">
        <v>11</v>
      </c>
      <c r="D14" s="8">
        <v>119.95</v>
      </c>
      <c r="E14" s="8">
        <f t="shared" si="0"/>
        <v>119.95</v>
      </c>
    </row>
    <row r="15" spans="1:5" ht="19.2" x14ac:dyDescent="0.35">
      <c r="A15" s="7"/>
      <c r="B15" s="7"/>
      <c r="C15" s="20"/>
      <c r="D15" s="8"/>
      <c r="E15" s="8"/>
    </row>
    <row r="16" spans="1:5" ht="19.2" x14ac:dyDescent="0.35">
      <c r="A16" s="7"/>
      <c r="B16" s="7"/>
      <c r="C16" s="20"/>
      <c r="D16" s="8"/>
      <c r="E16" s="8"/>
    </row>
    <row r="17" spans="1:5" ht="19.2" x14ac:dyDescent="0.35">
      <c r="A17" s="7"/>
      <c r="B17" s="7"/>
      <c r="C17" s="20"/>
      <c r="D17" s="8"/>
      <c r="E17" s="8"/>
    </row>
    <row r="18" spans="1:5" ht="19.2" x14ac:dyDescent="0.35">
      <c r="A18" s="7"/>
      <c r="B18" s="7"/>
      <c r="C18" s="29" t="s">
        <v>23</v>
      </c>
      <c r="D18" s="29"/>
      <c r="E18" s="10">
        <f>SUM(E6:E17)</f>
        <v>994.38000000000011</v>
      </c>
    </row>
    <row r="19" spans="1:5" ht="19.2" x14ac:dyDescent="0.35">
      <c r="A19" s="1"/>
      <c r="B19" s="1"/>
      <c r="C19" s="1"/>
      <c r="D19" s="1"/>
      <c r="E19" s="1"/>
    </row>
    <row r="20" spans="1:5" ht="19.2" x14ac:dyDescent="0.35">
      <c r="A20" s="1"/>
      <c r="B20" s="9" t="s">
        <v>24</v>
      </c>
      <c r="C20" s="30">
        <f>C3-E18</f>
        <v>5.6199999999998909</v>
      </c>
      <c r="D20" s="30"/>
      <c r="E20" s="1"/>
    </row>
    <row r="21" spans="1:5" ht="19.2" x14ac:dyDescent="0.35">
      <c r="A21" s="1"/>
      <c r="B21" s="9"/>
      <c r="C21" s="31"/>
      <c r="D21" s="31"/>
      <c r="E21" s="1"/>
    </row>
    <row r="22" spans="1:5" ht="19.2" x14ac:dyDescent="0.35">
      <c r="A22" s="1"/>
      <c r="B22" s="1"/>
      <c r="C22" s="1"/>
      <c r="D22" s="1"/>
      <c r="E22" s="1"/>
    </row>
  </sheetData>
  <mergeCells count="4">
    <mergeCell ref="A1:E1"/>
    <mergeCell ref="C18:D18"/>
    <mergeCell ref="C20:D20"/>
    <mergeCell ref="C21:D21"/>
  </mergeCells>
  <hyperlinks>
    <hyperlink ref="C6" r:id="rId1" xr:uid="{E57B6969-572E-4165-A771-BE8A6FA1577C}"/>
    <hyperlink ref="C7" r:id="rId2" xr:uid="{31B85E1D-D341-4F82-9E11-28803F6C76AD}"/>
    <hyperlink ref="C8" r:id="rId3" xr:uid="{5B1E6BC9-37F9-4484-8D47-A9E3C955BF84}"/>
    <hyperlink ref="C9" r:id="rId4" xr:uid="{5CA6AC9A-3B2F-4214-9A68-577A47C78A5C}"/>
    <hyperlink ref="C10" r:id="rId5" xr:uid="{E71B00D0-FB1D-5740-A463-1AAC88A61F60}"/>
    <hyperlink ref="C11" r:id="rId6" xr:uid="{BB87208C-2CCF-4E3C-9346-5AA537071CF9}"/>
    <hyperlink ref="C12" r:id="rId7" xr:uid="{A76BA29E-8A16-4AC1-A117-1B4A55C5B734}"/>
    <hyperlink ref="C13" r:id="rId8" xr:uid="{643BD5DD-85A0-4379-9B90-863C5CCF7732}"/>
    <hyperlink ref="C14" r:id="rId9" xr:uid="{FF7F4CB1-F4CC-45A7-97AA-14E289D59577}"/>
  </hyperlinks>
  <pageMargins left="0.7" right="0.7" top="0.75" bottom="0.75" header="0.3" footer="0.3"/>
  <pageSetup orientation="landscape" r:id="rId10"/>
  <legacy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bb1d3a-61b8-4a50-b74f-7735d9d91955">
      <Terms xmlns="http://schemas.microsoft.com/office/infopath/2007/PartnerControls"/>
    </lcf76f155ced4ddcb4097134ff3c332f>
    <TaxCatchAll xmlns="e0ebc514-cb9e-4178-82a1-c77f29ef46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D960E5D777244FA23BA6CDFBA553B0" ma:contentTypeVersion="12" ma:contentTypeDescription="Create a new document." ma:contentTypeScope="" ma:versionID="d8b0dd3a4aa4fa28e361455068e4a2e4">
  <xsd:schema xmlns:xsd="http://www.w3.org/2001/XMLSchema" xmlns:xs="http://www.w3.org/2001/XMLSchema" xmlns:p="http://schemas.microsoft.com/office/2006/metadata/properties" xmlns:ns2="3cbb1d3a-61b8-4a50-b74f-7735d9d91955" xmlns:ns3="e0ebc514-cb9e-4178-82a1-c77f29ef46fb" targetNamespace="http://schemas.microsoft.com/office/2006/metadata/properties" ma:root="true" ma:fieldsID="97d741dbbed4bacacc624e847cc1d895" ns2:_="" ns3:_="">
    <xsd:import namespace="3cbb1d3a-61b8-4a50-b74f-7735d9d91955"/>
    <xsd:import namespace="e0ebc514-cb9e-4178-82a1-c77f29ef46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bb1d3a-61b8-4a50-b74f-7735d9d91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ebc514-cb9e-4178-82a1-c77f29ef46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0bef64-df49-4bca-96d1-398b77b91648}" ma:internalName="TaxCatchAll" ma:showField="CatchAllData" ma:web="e0ebc514-cb9e-4178-82a1-c77f29ef46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1D045C-0A3A-4D61-9AA5-8553EFD9B160}">
  <ds:schemaRefs>
    <ds:schemaRef ds:uri="http://schemas.microsoft.com/office/2006/metadata/properties"/>
    <ds:schemaRef ds:uri="http://schemas.microsoft.com/office/infopath/2007/PartnerControls"/>
    <ds:schemaRef ds:uri="3cbb1d3a-61b8-4a50-b74f-7735d9d91955"/>
    <ds:schemaRef ds:uri="e0ebc514-cb9e-4178-82a1-c77f29ef46fb"/>
  </ds:schemaRefs>
</ds:datastoreItem>
</file>

<file path=customXml/itemProps2.xml><?xml version="1.0" encoding="utf-8"?>
<ds:datastoreItem xmlns:ds="http://schemas.openxmlformats.org/officeDocument/2006/customXml" ds:itemID="{FA77F3AF-E107-4B74-877D-71CCD88C00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92E5CB-41A8-4102-ADB5-7F7D7D833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bb1d3a-61b8-4a50-b74f-7735d9d91955"/>
    <ds:schemaRef ds:uri="e0ebc514-cb9e-4178-82a1-c77f29ef46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Feb. Active</vt:lpstr>
      <vt:lpstr>Feb. Passive</vt:lpstr>
      <vt:lpstr>Mar. Passive</vt:lpstr>
      <vt:lpstr>Mar. Active</vt:lpstr>
      <vt:lpstr>RLC Balance</vt:lpstr>
      <vt:lpstr>Budget Template</vt:lpstr>
      <vt:lpstr>1 K</vt:lpstr>
      <vt:lpstr>'1 K'!Print_Area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Olabowale Olufiade</cp:lastModifiedBy>
  <cp:revision/>
  <dcterms:created xsi:type="dcterms:W3CDTF">2025-09-13T23:15:14Z</dcterms:created>
  <dcterms:modified xsi:type="dcterms:W3CDTF">2026-09-11T02:50:42Z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0x0101006CD960E5D777244FA23BA6CDFBA553B0</vt:lpwstr>
  </property>
  <property fmtid="{D5CDD505-2E9C-101B-9397-08002B2CF9AE}" pid="3" name="MediaServiceImageTags">
    <vt:lpwstr/>
  </property>
</Properties>
</file>